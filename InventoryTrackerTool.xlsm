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D6D4A94A-2FCB-4414-A1B8-AE19CC3D630F}" xr6:coauthVersionLast="38" xr6:coauthVersionMax="38" xr10:uidLastSave="{00000000-0000-0000-0000-000000000000}"/>
  <bookViews>
    <workbookView xWindow="0" yWindow="0" windowWidth="73920" windowHeight="17280" firstSheet="5" activeTab="9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Workflow_Capacity" sheetId="21" r:id="rId7"/>
    <sheet name="Item_Capacity" sheetId="15" r:id="rId8"/>
    <sheet name="Inv_Items" sheetId="22" r:id="rId9"/>
    <sheet name="Inv_Availability" sheetId="23" r:id="rId10"/>
    <sheet name="SQL_Update_Worksheet" sheetId="11" state="hidden" r:id="rId11"/>
  </sheets>
  <functionGroups builtInGroupCount="19"/>
  <definedNames>
    <definedName name="_xlnm._FilterDatabase" localSheetId="3" hidden="1">FlatbedScans!$B$1:$B$97</definedName>
    <definedName name="_xlnm._FilterDatabase" localSheetId="9" hidden="1">Inv_Availability!$A$1:$G$1</definedName>
    <definedName name="_xlnm._FilterDatabase" localSheetId="8" hidden="1">Inv_Items!$A$1:$J$1</definedName>
    <definedName name="_xlnm._FilterDatabase" localSheetId="7" hidden="1">Item_Capacity!$A$1:$F$1</definedName>
    <definedName name="_xlnm._FilterDatabase" localSheetId="6" hidden="1">Workflow_Capacity!$A$1:$J$1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<sst xmlns="http://schemas.openxmlformats.org/spreadsheetml/2006/main" count="1595" uniqueCount="611">
  <si>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</si>
  <si>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</si>
  <si>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</si>
  <si>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</si>
  <si>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</si>
  <si>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</si>
  <si>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</si>
  <si>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</si>
  <si>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</si>
  <si>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</si>
  <si>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</si>
  <si>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</si>
  <si>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</si>
  <si>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</si>
  <si>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</si>
  <si>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</si>
  <si>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</si>
  <si>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</si>
  <si>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</si>
  <si>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</si>
  <si>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</si>
  <si>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</si>
  <si>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</si>
  <si>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</si>
  <si>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</si>
  <si>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</si>
  <si>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</si>
  <si>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</si>
  <si>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</si>
  <si>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</si>
  <si>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</si>
  <si>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</si>
  <si>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</si>
  <si>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</si>
  <si>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</si>
  <si>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</si>
  <si>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</si>
  <si>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</si>
  <si>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</si>
  <si>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</si>
  <si>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</si>
  <si>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</si>
  <si>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</si>
  <si>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</si>
  <si>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</si>
  <si>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</si>
  <si>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</si>
  <si>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</si>
  <si>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</si>
  <si>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</si>
  <si>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</si>
  <si>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</si>
  <si>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</si>
  <si>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</si>
  <si>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</si>
  <si>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</si>
  <si>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</si>
  <si>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</si>
  <si>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</si>
  <si>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</si>
  <si>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</si>
  <si>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</si>
  <si>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</si>
  <si>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</si>
  <si>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</si>
  <si>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</si>
  <si>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</si>
  <si>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</si>
  <si>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</si>
  <si>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</si>
  <si>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</si>
  <si>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</si>
  <si>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</si>
  <si>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</si>
  <si>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</si>
  <si>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</si>
  <si>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</si>
  <si>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</si>
  <si>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</si>
  <si>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</si>
  <si>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</si>
  <si>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</si>
  <si>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</si>
  <si>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</si>
  <si>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</si>
  <si>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</si>
  <si>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</si>
  <si>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</si>
  <si>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</si>
  <si>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</si>
  <si>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</si>
  <si>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</si>
  <si>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</si>
  <si>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</si>
  <si>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</si>
  <si>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</si>
  <si>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</si>
  <si>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</si>
  <si>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</si>
  <si>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</si>
  <si>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</si>
  <si>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</si>
  <si>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</si>
  <si>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</si>
  <si>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</si>
  <si>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</si>
  <si>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</si>
  <si>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</si>
  <si>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</si>
  <si>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</si>
  <si>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</si>
  <si>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</si>
  <si>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</si>
  <si>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</si>
  <si>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</si>
  <si>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</si>
  <si>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</si>
  <si>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</si>
  <si>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</si>
  <si>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</si>
  <si>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</si>
  <si>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</si>
  <si>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</si>
  <si>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</si>
  <si>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</si>
  <si>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</si>
  <si>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</si>
  <si>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</si>
  <si>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</si>
  <si>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</si>
  <si>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</si>
  <si>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</si>
  <si>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</si>
  <si>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</si>
  <si>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</si>
  <si>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</si>
  <si>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</si>
  <si>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</si>
  <si>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</si>
  <si>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</si>
  <si>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</si>
  <si>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</si>
  <si>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</si>
  <si>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</si>
  <si>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</si>
  <si>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</si>
  <si>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</si>
  <si>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</si>
  <si>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</si>
  <si>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</si>
  <si>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</si>
  <si>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</si>
  <si>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</si>
  <si>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</si>
  <si>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</si>
  <si>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</si>
  <si>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</si>
  <si>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</si>
  <si>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</si>
  <si>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</si>
  <si>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</si>
  <si>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</si>
  <si>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</si>
  <si>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</si>
  <si>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</si>
  <si>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</si>
  <si>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</si>
  <si>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</si>
  <si>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</si>
  <si>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</si>
  <si>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</si>
  <si>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</si>
  <si>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</si>
  <si>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</si>
  <si>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</si>
  <si>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</si>
  <si>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</si>
  <si>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</si>
  <si>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</si>
  <si>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</si>
  <si>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</si>
  <si>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</si>
  <si>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</si>
  <si>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</si>
  <si>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</si>
  <si>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</si>
  <si>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</si>
  <si>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</si>
  <si>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</si>
  <si>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</si>
  <si>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</si>
  <si>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</si>
  <si>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</si>
  <si>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</si>
  <si>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</si>
  <si>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</si>
  <si>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</si>
  <si>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</si>
  <si>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</si>
  <si>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</si>
  <si>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</si>
  <si>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</si>
  <si>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</si>
  <si>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</si>
  <si>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</si>
  <si>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</si>
  <si>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</si>
  <si>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</si>
  <si>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</si>
  <si>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</si>
  <si>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</si>
  <si>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</si>
  <si>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</si>
  <si>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</si>
  <si>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</si>
  <si>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</si>
  <si>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</si>
  <si>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</si>
  <si>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</si>
  <si>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</si>
  <si>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</si>
  <si>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</si>
  <si>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</si>
  <si>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</si>
  <si>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</si>
  <si>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</si>
  <si>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</si>
  <si>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</si>
  <si>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</si>
  <si>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</si>
  <si>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</si>
  <si>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</si>
  <si>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</si>
  <si>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</si>
  <si>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</si>
  <si>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</si>
  <si>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</si>
  <si>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</si>
  <si>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</si>
  <si>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</si>
  <si>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</si>
  <si>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</si>
  <si>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</si>
  <si>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</si>
  <si>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</si>
  <si>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</si>
  <si>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</si>
  <si>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</si>
  <si>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</si>
  <si>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</si>
  <si>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</si>
  <si>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</si>
  <si>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</si>
  <si>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</si>
  <si>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</si>
  <si>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</si>
  <si>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</si>
  <si>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</si>
  <si>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</si>
  <si>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</si>
  <si>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</si>
  <si>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</si>
  <si>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</si>
  <si>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</si>
  <si>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</si>
  <si>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</si>
  <si>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</si>
  <si>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</si>
  <si>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</si>
  <si>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</si>
  <si>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</si>
  <si>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</si>
  <si>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</si>
  <si>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</si>
  <si>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</si>
  <si>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</si>
  <si>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</si>
  <si>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</si>
  <si>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</si>
  <si>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</si>
  <si>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</si>
  <si>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</si>
  <si>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</si>
  <si>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</si>
  <si>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</si>
  <si>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</si>
  <si>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</si>
  <si>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</si>
  <si>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</si>
  <si>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</si>
  <si>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</si>
  <si>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</si>
  <si>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</si>
  <si>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</si>
  <si>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</si>
  <si>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</si>
  <si>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</si>
  <si>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</si>
  <si>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</si>
  <si>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</si>
  <si>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</si>
  <si>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</si>
  <si>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</si>
  <si>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</si>
  <si>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</si>
  <si>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</si>
  <si>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</si>
  <si>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</si>
  <si>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</si>
  <si>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</si>
  <si>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</si>
  <si>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</si>
  <si>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Vessel ID Exists on RawData tab</t>
  </si>
  <si>
    <t>exec [Get_Dictionary_Values]  '{{search_field_name}}'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</si>
  <si>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</si>
  <si>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</si>
  <si>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</si>
  <si>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</si>
  <si>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</si>
  <si>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</si>
  <si>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</si>
  <si>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</si>
  <si>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</si>
  <si>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</si>
  <si>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</si>
  <si>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</si>
  <si>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</si>
  <si>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</si>
  <si>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</si>
  <si>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</si>
  <si>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</si>
  <si>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</si>
  <si>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</si>
  <si>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</si>
  <si>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</si>
  <si>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</si>
  <si>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</si>
  <si>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</si>
  <si>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</si>
  <si>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</si>
  <si>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</si>
  <si>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</si>
  <si>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</si>
  <si>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</si>
  <si>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</si>
  <si>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</si>
  <si>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</si>
  <si>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</si>
  <si>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</si>
  <si>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</si>
  <si>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</si>
  <si>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</si>
  <si>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</si>
  <si>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</si>
  <si>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</si>
  <si>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</si>
  <si>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</si>
  <si>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</si>
  <si>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</si>
  <si>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</si>
  <si>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</si>
  <si>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</si>
  <si>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</si>
  <si>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</si>
  <si>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</si>
  <si>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</si>
  <si>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</si>
  <si>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</si>
  <si>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</si>
  <si>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</si>
  <si>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</si>
  <si>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</si>
  <si>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</si>
  <si>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</si>
  <si>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</si>
  <si>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</si>
  <si>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</si>
  <si>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</si>
  <si>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</si>
  <si>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</si>
  <si>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</si>
  <si>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</si>
  <si>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</si>
  <si>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</si>
  <si>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</si>
  <si>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</si>
  <si>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</si>
  <si>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</si>
  <si>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</si>
  <si>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</si>
  <si>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</si>
  <si>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</si>
  <si>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</si>
  <si>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</si>
  <si>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</si>
  <si>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</si>
  <si>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</si>
  <si>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</si>
  <si>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</si>
  <si>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</si>
  <si>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</si>
  <si>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</si>
  <si>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</si>
  <si>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</si>
  <si>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</si>
  <si>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</si>
  <si>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</si>
  <si>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</si>
  <si>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</si>
  <si>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</si>
  <si>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</si>
  <si>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</si>
  <si>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</si>
  <si>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</si>
  <si>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</si>
  <si>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</si>
  <si>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</si>
  <si>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</si>
  <si>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</si>
  <si>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</si>
  <si>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</si>
  <si>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</si>
  <si>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</si>
  <si>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</si>
  <si>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</si>
  <si>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</si>
  <si>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</si>
  <si>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</si>
  <si>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</si>
  <si>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</si>
  <si>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</si>
  <si>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</si>
  <si>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</si>
  <si>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</si>
  <si>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</si>
  <si>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</si>
  <si>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</si>
  <si>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</si>
  <si>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</si>
  <si>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</si>
  <si>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</si>
  <si>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</si>
  <si>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</si>
  <si>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</si>
  <si>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</si>
  <si>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</si>
  <si>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</si>
  <si>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</si>
  <si>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</si>
  <si>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</si>
  <si>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</si>
  <si>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</si>
  <si>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</si>
  <si>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</si>
  <si>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</si>
  <si>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</si>
  <si>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</si>
  <si>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</si>
  <si>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</si>
  <si>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</si>
  <si>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</si>
  <si>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</si>
  <si>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</si>
  <si>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</si>
  <si>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</si>
  <si>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</si>
  <si>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</si>
  <si>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</si>
  <si>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</si>
  <si>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</si>
  <si>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</si>
  <si>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</si>
  <si>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</si>
  <si>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</si>
  <si>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</si>
  <si>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</si>
  <si>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</si>
  <si>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</si>
  <si>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</si>
  <si>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</si>
  <si>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</si>
  <si>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</si>
  <si>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</si>
  <si>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</si>
  <si>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</si>
  <si>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</si>
  <si>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</si>
  <si>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</si>
  <si>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</si>
  <si>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</si>
  <si>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</si>
  <si>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</si>
  <si>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</si>
  <si>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</si>
  <si>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</si>
  <si>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</si>
  <si>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</si>
  <si>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</si>
  <si>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</si>
  <si>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</si>
  <si>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</si>
  <si>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</si>
  <si>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</si>
  <si>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</si>
  <si>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</si>
  <si>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</si>
  <si>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</si>
  <si>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</si>
  <si>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</si>
  <si>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</si>
  <si>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</si>
  <si>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</si>
  <si>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</si>
  <si>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</si>
  <si>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</si>
  <si>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</si>
  <si>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</si>
  <si>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</si>
  <si>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</si>
  <si>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</si>
  <si>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</si>
  <si>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</si>
  <si>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</si>
  <si>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</si>
  <si>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</si>
  <si>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</si>
  <si>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</si>
  <si>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</si>
  <si>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</si>
  <si>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</si>
  <si>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</si>
  <si>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</si>
  <si>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</si>
  <si>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</si>
  <si>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</si>
  <si>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</si>
  <si>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</si>
  <si>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</si>
  <si>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</si>
  <si>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</si>
  <si>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</si>
  <si>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</si>
  <si>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</si>
  <si>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</si>
  <si>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</si>
  <si>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</si>
  <si>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</si>
  <si>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</si>
  <si>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</si>
  <si>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</si>
  <si>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</si>
  <si>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</si>
  <si>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</si>
  <si>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</si>
  <si>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</si>
  <si>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</si>
  <si>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</si>
  <si>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</si>
  <si>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</si>
  <si>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</si>
  <si>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</si>
  <si>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</si>
  <si>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</si>
  <si>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</si>
  <si>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</si>
  <si>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ReFillAlert,ReFillNotify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</si>
  <si>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</si>
  <si>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</si>
  <si>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</si>
  <si>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</si>
  <si>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</si>
  <si>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</si>
  <si>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</si>
  <si>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</si>
  <si>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</si>
  <si>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</si>
  <si>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</si>
  <si>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</si>
  <si>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</si>
  <si>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</si>
  <si>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</si>
  <si>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</si>
  <si>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exec usp_check_capacity_all_items {sampleQty}</t>
  </si>
  <si>
    <t>exec usp_check_capacity_all_workflows {sampleQty}</t>
  </si>
  <si>
    <t>Sample Qty Estimated</t>
  </si>
  <si>
    <t>Available Capacity</t>
  </si>
  <si>
    <t>Items Required Per Estimate</t>
  </si>
  <si>
    <t>CapacityCheck</t>
  </si>
  <si>
    <t>GetReports_SQL</t>
  </si>
  <si>
    <t>exec usp_get_reports</t>
  </si>
  <si>
    <t>workflowID</t>
  </si>
  <si>
    <t>WorkflowName</t>
  </si>
  <si>
    <t xml:space="preserve">RNA isolation blood </t>
  </si>
  <si>
    <t xml:space="preserve">RNA QC Fragment Analyzer </t>
  </si>
  <si>
    <t>RNA QC Qubit</t>
  </si>
  <si>
    <t>RNA isolation tissue</t>
  </si>
  <si>
    <t>Dict_DB_Select_Statment_TODELETE</t>
  </si>
  <si>
    <t>FieldSetting_Get_Statement_TODELETE</t>
  </si>
  <si>
    <t>FieldSetting_LastLoadedProfile_TODELETE</t>
  </si>
  <si>
    <t>FieldSetting_Get_Profiles_TODELETE</t>
  </si>
  <si>
    <t>Dflt_bVoidDropDownFunctionality_TODELETE</t>
  </si>
  <si>
    <t>GetInventoryItemsAvailability_SQL_TODELETE</t>
  </si>
  <si>
    <t>GetInventoryItemsRefilLevels_SQL_TODELETE</t>
  </si>
  <si>
    <t>GetInventoryItemCapacity_SQL_TODELETE</t>
  </si>
  <si>
    <t>GetInventoryWorkflowCapacity_SQL_TODELETE</t>
  </si>
  <si>
    <t>InvItems_RefillLevel_FormatCondit_Columns_TODELETE</t>
  </si>
  <si>
    <t>InvItems_RefillLevel_FormatCondit_Rules_TODELETE</t>
  </si>
  <si>
    <t>InvItems_Availability_FormatCondit_Columns_TODELETE</t>
  </si>
  <si>
    <t>InvItems_Availability_FormatCondit_Rules_TODELETE</t>
  </si>
  <si>
    <t>InvItems_Capacity_FormatCondit_Columns_TODELETE</t>
  </si>
  <si>
    <t>InvItems_Capacity_FormatCondit_Rules_TODELETE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</si>
</sst>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19"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76200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584200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796875" defaultRowHeight="14.5" x14ac:dyDescent="0.35"/>
  <cols>
    <col min="1" max="1" width="17.26953125" style="7" bestFit="1" customWidth="1"/>
    <col min="2" max="2" width="17.7265625" style="15" bestFit="1" customWidth="1"/>
    <col min="3" max="3" width="24.1796875" style="7" customWidth="1"/>
    <col min="4" max="4" width="26.7265625" style="7" customWidth="1"/>
    <col min="5" max="6" width="23.26953125" style="7" bestFit="1" customWidth="1"/>
    <col min="7" max="7" width="20.81640625" style="7" customWidth="1"/>
    <col min="8" max="8" width="20.81640625" style="7" bestFit="1" customWidth="1"/>
    <col min="9" max="9" width="27.1796875" style="7" customWidth="1"/>
    <col min="10" max="10" width="24.453125" style="7" customWidth="1"/>
    <col min="11" max="11" width="12.26953125" style="7" customWidth="1"/>
    <col min="12" max="12" width="16.1796875" style="7" bestFit="1" customWidth="1"/>
    <col min="13" max="13" width="17.453125" style="7" bestFit="1" customWidth="1"/>
    <col min="14" max="14" width="26.81640625" style="7" customWidth="1"/>
    <col min="15" max="15" width="24.26953125" style="7" bestFit="1" customWidth="1"/>
    <col min="16" max="16" width="14.453125" style="7" bestFit="1" customWidth="1"/>
    <col min="17" max="16384" width="29.1796875" style="8"/>
  </cols>
  <sheetData>
    <row r="1" spans="1:28" x14ac:dyDescent="0.35">
      <c r="A1" s="11" t="s">
        <v>515</v>
      </c>
      <c r="B1" s="12" t="s">
        <v>516</v>
      </c>
      <c r="C1" s="11" t="s">
        <v>4</v>
      </c>
      <c r="D1" s="11" t="s">
        <v>5</v>
      </c>
      <c r="E1" s="11" t="s">
        <v>518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521</v>
      </c>
      <c r="P1" s="11" t="s">
        <v>522</v>
      </c>
      <c r="Q1" s="10" t="s">
        <v>523</v>
      </c>
      <c r="R1" s="10" t="s">
        <v>121</v>
      </c>
      <c r="S1" s="10" t="s">
        <v>238</v>
      </c>
      <c r="T1" s="10" t="s">
        <v>8</v>
      </c>
      <c r="U1" s="10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412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112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76200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1640625" defaultRowHeight="14.5" x14ac:dyDescent="0.35"/>
  <cols>
    <col min="1" max="16" width="24.81640625" style="7"/>
    <col min="17" max="16384" width="24.81640625" style="8"/>
  </cols>
  <sheetData>
    <row r="1" spans="1:28" x14ac:dyDescent="0.35">
      <c r="A1" s="7" t="s">
        <v>515</v>
      </c>
      <c r="B1" s="7" t="s">
        <v>516</v>
      </c>
      <c r="C1" s="7" t="s">
        <v>4</v>
      </c>
      <c r="D1" s="7" t="s">
        <v>5</v>
      </c>
      <c r="E1" s="7" t="s">
        <v>518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521</v>
      </c>
      <c r="P1" s="7" t="s">
        <v>522</v>
      </c>
      <c r="Q1" s="8" t="s">
        <v>523</v>
      </c>
      <c r="R1" s="8" t="s">
        <v>121</v>
      </c>
      <c r="S1" s="8" t="s">
        <v>238</v>
      </c>
      <c r="T1" s="8" t="s">
        <v>8</v>
      </c>
      <c r="U1" s="8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21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1640625" defaultRowHeight="14.5" x14ac:dyDescent="0.35"/>
  <cols>
    <col min="1" max="1" width="16.54296875" style="5" customWidth="1"/>
    <col min="2" max="2" width="7.54296875" style="13" customWidth="1"/>
    <col min="3" max="3" width="12.7265625" style="5" bestFit="1" customWidth="1"/>
    <col min="4" max="4" width="16.7265625" style="5" customWidth="1"/>
    <col min="5" max="5" width="16.1796875" style="5" bestFit="1" customWidth="1"/>
    <col min="6" max="6" width="8.453125" style="13" customWidth="1"/>
    <col min="7" max="7" width="16.1796875" style="5" bestFit="1" customWidth="1"/>
    <col min="8" max="8" width="13.81640625" style="5"/>
    <col min="9" max="9" width="22.81640625" style="5" bestFit="1" customWidth="1"/>
    <col min="10" max="10" width="13.81640625" style="5"/>
    <col min="11" max="11" width="22.81640625" style="5" bestFit="1" customWidth="1"/>
    <col min="12" max="12" width="17.1796875" style="5" customWidth="1"/>
    <col min="13" max="13" width="21" style="5" bestFit="1" customWidth="1"/>
    <col min="14" max="14" width="13.81640625" style="5"/>
    <col min="15" max="15" width="21" style="5" bestFit="1" customWidth="1"/>
    <col min="16" max="20" width="13.81640625" style="5"/>
    <col min="21" max="21" width="22.54296875" style="5" bestFit="1" customWidth="1"/>
    <col min="22" max="22" width="13.81640625" style="5"/>
    <col min="23" max="23" width="22.54296875" style="5" bestFit="1" customWidth="1"/>
    <col min="24" max="35" width="13.81640625" style="5"/>
    <col min="41" max="41" width="17.453125" customWidth="1"/>
    <col min="47" max="47" width="21.1796875" bestFit="1" customWidth="1"/>
    <col min="49" max="55" width="13.81640625" style="5"/>
  </cols>
  <sheetData>
    <row r="1" spans="1:55" ht="49.5" customHeight="1" x14ac:dyDescent="0.35">
      <c r="A1" s="33" t="s">
        <v>7</v>
      </c>
      <c r="B1" s="33"/>
      <c r="C1" s="33"/>
      <c r="D1" s="13"/>
      <c r="E1" s="32" t="s">
        <v>4</v>
      </c>
      <c r="F1" s="32"/>
      <c r="G1" s="32"/>
      <c r="I1" s="32" t="s">
        <v>129</v>
      </c>
      <c r="J1" s="32"/>
      <c r="K1" s="32"/>
      <c r="L1" s="13"/>
      <c r="M1" s="32" t="s">
        <v>86</v>
      </c>
      <c r="N1" s="32"/>
      <c r="O1" s="32"/>
      <c r="Q1" s="32" t="s">
        <v>6</v>
      </c>
      <c r="R1" s="32"/>
      <c r="S1" s="32"/>
      <c r="U1" s="32" t="s">
        <v>5</v>
      </c>
      <c r="V1" s="32"/>
      <c r="W1" s="32"/>
      <c r="X1" s="13"/>
      <c r="Y1" s="32" t="s">
        <v>8</v>
      </c>
      <c r="Z1" s="32"/>
      <c r="AA1" s="32"/>
      <c r="AB1" s="13"/>
      <c r="AC1" s="32" t="s">
        <v>239</v>
      </c>
      <c r="AD1" s="32"/>
      <c r="AE1" s="32"/>
      <c r="AG1" s="32" t="s">
        <v>121</v>
      </c>
      <c r="AH1" s="32"/>
      <c r="AI1" s="32"/>
      <c r="AJ1" s="9"/>
      <c r="AK1" s="32" t="s">
        <v>9</v>
      </c>
      <c r="AL1" s="32"/>
      <c r="AM1" s="32"/>
      <c r="AN1" s="9"/>
      <c r="AO1" s="32" t="s">
        <v>132</v>
      </c>
      <c r="AP1" s="32"/>
      <c r="AQ1" s="32"/>
      <c r="AR1" s="9"/>
      <c r="AS1" s="32" t="s">
        <v>141</v>
      </c>
      <c r="AT1" s="32"/>
      <c r="AU1" s="32"/>
      <c r="AV1" s="9"/>
      <c r="AW1" s="32" t="s">
        <v>139</v>
      </c>
      <c r="AX1" s="32"/>
      <c r="AY1" s="32"/>
      <c r="BA1" s="32" t="s">
        <v>237</v>
      </c>
      <c r="BB1" s="32"/>
      <c r="BC1" s="32"/>
    </row>
    <row r="2" spans="1:55" ht="29" x14ac:dyDescent="0.3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3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369</v>
      </c>
      <c r="AY3" s="5" t="s">
        <v>369</v>
      </c>
      <c r="BA3" s="5" t="s">
        <v>412</v>
      </c>
      <c r="BC3" s="5" t="s">
        <v>412</v>
      </c>
    </row>
    <row r="4" spans="1:55" x14ac:dyDescent="0.3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335</v>
      </c>
      <c r="AY4" s="5" t="s">
        <v>335</v>
      </c>
    </row>
    <row r="5" spans="1:55" x14ac:dyDescent="0.3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319</v>
      </c>
      <c r="AY5" s="5" t="s">
        <v>319</v>
      </c>
    </row>
    <row r="6" spans="1:55" x14ac:dyDescent="0.3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364</v>
      </c>
      <c r="AY6" s="5" t="s">
        <v>364</v>
      </c>
    </row>
    <row r="7" spans="1:55" x14ac:dyDescent="0.3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356</v>
      </c>
      <c r="AY7" s="5" t="s">
        <v>356</v>
      </c>
    </row>
    <row r="8" spans="1:55" x14ac:dyDescent="0.3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400</v>
      </c>
      <c r="AY8" s="5" t="s">
        <v>400</v>
      </c>
    </row>
    <row r="9" spans="1:55" x14ac:dyDescent="0.3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407</v>
      </c>
      <c r="AY9" s="5" t="s">
        <v>407</v>
      </c>
    </row>
    <row r="10" spans="1:55" x14ac:dyDescent="0.3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360</v>
      </c>
      <c r="AY10" s="5" t="s">
        <v>360</v>
      </c>
    </row>
    <row r="11" spans="1:55" x14ac:dyDescent="0.3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338</v>
      </c>
      <c r="AY11" s="5" t="s">
        <v>338</v>
      </c>
    </row>
    <row r="12" spans="1:55" x14ac:dyDescent="0.3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374</v>
      </c>
      <c r="AY12" s="5" t="s">
        <v>374</v>
      </c>
    </row>
    <row r="13" spans="1:55" x14ac:dyDescent="0.3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385</v>
      </c>
      <c r="AY13" s="5" t="s">
        <v>385</v>
      </c>
    </row>
    <row r="14" spans="1:55" x14ac:dyDescent="0.3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333</v>
      </c>
      <c r="AY14" s="5" t="s">
        <v>333</v>
      </c>
    </row>
    <row r="15" spans="1:55" x14ac:dyDescent="0.3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331</v>
      </c>
      <c r="AY15" s="5" t="s">
        <v>331</v>
      </c>
    </row>
    <row r="16" spans="1:55" x14ac:dyDescent="0.3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387</v>
      </c>
      <c r="AY16" s="5" t="s">
        <v>387</v>
      </c>
    </row>
    <row r="17" spans="1:51" x14ac:dyDescent="0.3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401</v>
      </c>
      <c r="AY17" s="5" t="s">
        <v>401</v>
      </c>
    </row>
    <row r="18" spans="1:51" x14ac:dyDescent="0.3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328</v>
      </c>
      <c r="AY18" s="5" t="s">
        <v>328</v>
      </c>
    </row>
    <row r="19" spans="1:51" x14ac:dyDescent="0.3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339</v>
      </c>
      <c r="AY19" s="5" t="s">
        <v>339</v>
      </c>
    </row>
    <row r="20" spans="1:51" x14ac:dyDescent="0.3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383</v>
      </c>
      <c r="AY20" s="5" t="s">
        <v>383</v>
      </c>
    </row>
    <row r="21" spans="1:51" x14ac:dyDescent="0.3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327</v>
      </c>
      <c r="AY21" s="5" t="s">
        <v>327</v>
      </c>
    </row>
    <row r="22" spans="1:51" x14ac:dyDescent="0.3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377</v>
      </c>
      <c r="AY22" s="5" t="s">
        <v>377</v>
      </c>
    </row>
    <row r="23" spans="1:51" x14ac:dyDescent="0.3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349</v>
      </c>
      <c r="AY23" s="5" t="s">
        <v>349</v>
      </c>
    </row>
    <row r="24" spans="1:51" x14ac:dyDescent="0.3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379</v>
      </c>
      <c r="AY24" s="5" t="s">
        <v>379</v>
      </c>
    </row>
    <row r="25" spans="1:51" x14ac:dyDescent="0.3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353</v>
      </c>
      <c r="AY25" s="5" t="s">
        <v>353</v>
      </c>
    </row>
    <row r="26" spans="1:51" x14ac:dyDescent="0.3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345</v>
      </c>
      <c r="AY26" s="5" t="s">
        <v>345</v>
      </c>
    </row>
    <row r="27" spans="1:51" x14ac:dyDescent="0.3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336</v>
      </c>
      <c r="AY27" s="5" t="s">
        <v>336</v>
      </c>
    </row>
    <row r="28" spans="1:51" x14ac:dyDescent="0.3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381</v>
      </c>
      <c r="AY28" s="5" t="s">
        <v>381</v>
      </c>
    </row>
    <row r="29" spans="1:51" x14ac:dyDescent="0.3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322</v>
      </c>
      <c r="AY29" s="5" t="s">
        <v>322</v>
      </c>
    </row>
    <row r="30" spans="1:51" x14ac:dyDescent="0.3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362</v>
      </c>
      <c r="AY30" s="5" t="s">
        <v>362</v>
      </c>
    </row>
    <row r="31" spans="1:51" x14ac:dyDescent="0.3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348</v>
      </c>
      <c r="AY31" s="5" t="s">
        <v>348</v>
      </c>
    </row>
    <row r="32" spans="1:51" x14ac:dyDescent="0.3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347</v>
      </c>
      <c r="AY32" s="5" t="s">
        <v>347</v>
      </c>
    </row>
    <row r="33" spans="1:51" x14ac:dyDescent="0.3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376</v>
      </c>
      <c r="AY33" s="5" t="s">
        <v>376</v>
      </c>
    </row>
    <row r="34" spans="1:51" x14ac:dyDescent="0.3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320</v>
      </c>
      <c r="AY34" s="5" t="s">
        <v>320</v>
      </c>
    </row>
    <row r="35" spans="1:51" x14ac:dyDescent="0.3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323</v>
      </c>
      <c r="AY35" s="5" t="s">
        <v>323</v>
      </c>
    </row>
    <row r="36" spans="1:51" x14ac:dyDescent="0.3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329</v>
      </c>
      <c r="AY36" s="5" t="s">
        <v>329</v>
      </c>
    </row>
    <row r="37" spans="1:51" x14ac:dyDescent="0.3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326</v>
      </c>
      <c r="AY37" s="5" t="s">
        <v>326</v>
      </c>
    </row>
    <row r="38" spans="1:51" x14ac:dyDescent="0.3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368</v>
      </c>
      <c r="AY38" s="5" t="s">
        <v>368</v>
      </c>
    </row>
    <row r="39" spans="1:51" x14ac:dyDescent="0.3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358</v>
      </c>
      <c r="AY39" s="5" t="s">
        <v>358</v>
      </c>
    </row>
    <row r="40" spans="1:51" x14ac:dyDescent="0.3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399</v>
      </c>
      <c r="AY40" s="5" t="s">
        <v>399</v>
      </c>
    </row>
    <row r="41" spans="1:51" x14ac:dyDescent="0.3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393</v>
      </c>
      <c r="AY41" s="5" t="s">
        <v>393</v>
      </c>
    </row>
    <row r="42" spans="1:51" x14ac:dyDescent="0.3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395</v>
      </c>
      <c r="AY42" s="5" t="s">
        <v>395</v>
      </c>
    </row>
    <row r="43" spans="1:51" x14ac:dyDescent="0.3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334</v>
      </c>
      <c r="AY43" s="5" t="s">
        <v>334</v>
      </c>
    </row>
    <row r="44" spans="1:51" x14ac:dyDescent="0.3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367</v>
      </c>
      <c r="AY44" s="5" t="s">
        <v>367</v>
      </c>
    </row>
    <row r="45" spans="1:51" x14ac:dyDescent="0.3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359</v>
      </c>
      <c r="AY45" s="5" t="s">
        <v>359</v>
      </c>
    </row>
    <row r="46" spans="1:51" x14ac:dyDescent="0.3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403</v>
      </c>
      <c r="AY46" s="5" t="s">
        <v>403</v>
      </c>
    </row>
    <row r="47" spans="1:51" x14ac:dyDescent="0.3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396</v>
      </c>
      <c r="AY47" s="5" t="s">
        <v>396</v>
      </c>
    </row>
    <row r="48" spans="1:51" x14ac:dyDescent="0.3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325</v>
      </c>
      <c r="AY48" s="5" t="s">
        <v>325</v>
      </c>
    </row>
    <row r="49" spans="1:51" x14ac:dyDescent="0.3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316</v>
      </c>
      <c r="AY49" s="5" t="s">
        <v>316</v>
      </c>
    </row>
    <row r="50" spans="1:51" x14ac:dyDescent="0.3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384</v>
      </c>
      <c r="AY50" s="5" t="s">
        <v>384</v>
      </c>
    </row>
    <row r="51" spans="1:51" x14ac:dyDescent="0.3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410</v>
      </c>
      <c r="AY51" s="5" t="s">
        <v>410</v>
      </c>
    </row>
    <row r="52" spans="1:51" x14ac:dyDescent="0.3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373</v>
      </c>
      <c r="AY52" s="5" t="s">
        <v>373</v>
      </c>
    </row>
    <row r="53" spans="1:51" x14ac:dyDescent="0.3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342</v>
      </c>
      <c r="AY53" s="5" t="s">
        <v>342</v>
      </c>
    </row>
    <row r="54" spans="1:51" x14ac:dyDescent="0.3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397</v>
      </c>
      <c r="AY54" s="5" t="s">
        <v>397</v>
      </c>
    </row>
    <row r="55" spans="1:51" x14ac:dyDescent="0.3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324</v>
      </c>
      <c r="AY55" s="5" t="s">
        <v>324</v>
      </c>
    </row>
    <row r="56" spans="1:51" x14ac:dyDescent="0.3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361</v>
      </c>
      <c r="AY56" s="5" t="s">
        <v>361</v>
      </c>
    </row>
    <row r="57" spans="1:51" x14ac:dyDescent="0.3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344</v>
      </c>
      <c r="AY57" s="5" t="s">
        <v>344</v>
      </c>
    </row>
    <row r="58" spans="1:51" x14ac:dyDescent="0.3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330</v>
      </c>
      <c r="AY58" s="5" t="s">
        <v>330</v>
      </c>
    </row>
    <row r="59" spans="1:51" x14ac:dyDescent="0.3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406</v>
      </c>
      <c r="AY59" s="5" t="s">
        <v>406</v>
      </c>
    </row>
    <row r="60" spans="1:51" x14ac:dyDescent="0.3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394</v>
      </c>
      <c r="AY60" s="5" t="s">
        <v>394</v>
      </c>
    </row>
    <row r="61" spans="1:51" x14ac:dyDescent="0.3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392</v>
      </c>
      <c r="AY61" s="5" t="s">
        <v>392</v>
      </c>
    </row>
    <row r="62" spans="1:51" x14ac:dyDescent="0.3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411</v>
      </c>
      <c r="AY62" s="5" t="s">
        <v>411</v>
      </c>
    </row>
    <row r="63" spans="1:51" x14ac:dyDescent="0.3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363</v>
      </c>
      <c r="AY63" s="5" t="s">
        <v>363</v>
      </c>
    </row>
    <row r="64" spans="1:51" x14ac:dyDescent="0.3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409</v>
      </c>
      <c r="AY64" s="5" t="s">
        <v>409</v>
      </c>
    </row>
    <row r="65" spans="2:51" x14ac:dyDescent="0.3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340</v>
      </c>
      <c r="AY65" s="5" t="s">
        <v>340</v>
      </c>
    </row>
    <row r="66" spans="2:51" x14ac:dyDescent="0.3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391</v>
      </c>
      <c r="AY66" s="5" t="s">
        <v>391</v>
      </c>
    </row>
    <row r="67" spans="2:51" x14ac:dyDescent="0.3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346</v>
      </c>
      <c r="AY67" s="5" t="s">
        <v>346</v>
      </c>
    </row>
    <row r="68" spans="2:51" x14ac:dyDescent="0.3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357</v>
      </c>
      <c r="AY68" s="5" t="s">
        <v>357</v>
      </c>
    </row>
    <row r="69" spans="2:51" x14ac:dyDescent="0.3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341</v>
      </c>
      <c r="AY69" s="5" t="s">
        <v>341</v>
      </c>
    </row>
    <row r="70" spans="2:51" x14ac:dyDescent="0.3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332</v>
      </c>
      <c r="AY70" s="5" t="s">
        <v>332</v>
      </c>
    </row>
    <row r="71" spans="2:51" x14ac:dyDescent="0.3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375</v>
      </c>
      <c r="AY71" s="5" t="s">
        <v>375</v>
      </c>
    </row>
    <row r="72" spans="2:51" x14ac:dyDescent="0.3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404</v>
      </c>
      <c r="AY72" s="5" t="s">
        <v>404</v>
      </c>
    </row>
    <row r="73" spans="2:51" x14ac:dyDescent="0.3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371</v>
      </c>
      <c r="AY73" s="5" t="s">
        <v>371</v>
      </c>
    </row>
    <row r="74" spans="2:51" x14ac:dyDescent="0.3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402</v>
      </c>
      <c r="AY74" s="5" t="s">
        <v>402</v>
      </c>
    </row>
    <row r="75" spans="2:51" x14ac:dyDescent="0.3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351</v>
      </c>
      <c r="AY75" s="5" t="s">
        <v>351</v>
      </c>
    </row>
    <row r="76" spans="2:51" x14ac:dyDescent="0.3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370</v>
      </c>
      <c r="AY76" s="5" t="s">
        <v>370</v>
      </c>
    </row>
    <row r="77" spans="2:51" x14ac:dyDescent="0.3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372</v>
      </c>
      <c r="AY77" s="5" t="s">
        <v>372</v>
      </c>
    </row>
    <row r="78" spans="2:51" x14ac:dyDescent="0.3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321</v>
      </c>
      <c r="AY78" s="5" t="s">
        <v>321</v>
      </c>
    </row>
    <row r="79" spans="2:51" x14ac:dyDescent="0.3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354</v>
      </c>
      <c r="AY79" s="5" t="s">
        <v>354</v>
      </c>
    </row>
    <row r="80" spans="2:51" x14ac:dyDescent="0.3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318</v>
      </c>
      <c r="AY80" s="5" t="s">
        <v>318</v>
      </c>
    </row>
    <row r="81" spans="49:51" x14ac:dyDescent="0.35">
      <c r="AW81" s="5" t="s">
        <v>380</v>
      </c>
      <c r="AY81" s="5" t="s">
        <v>380</v>
      </c>
    </row>
    <row r="82" spans="49:51" x14ac:dyDescent="0.35">
      <c r="AW82" s="5" t="s">
        <v>388</v>
      </c>
      <c r="AY82" s="5" t="s">
        <v>388</v>
      </c>
    </row>
    <row r="83" spans="49:51" x14ac:dyDescent="0.35">
      <c r="AW83" s="5" t="s">
        <v>389</v>
      </c>
      <c r="AY83" s="5" t="s">
        <v>389</v>
      </c>
    </row>
    <row r="84" spans="49:51" x14ac:dyDescent="0.35">
      <c r="AW84" s="5" t="s">
        <v>350</v>
      </c>
      <c r="AY84" s="5" t="s">
        <v>350</v>
      </c>
    </row>
    <row r="85" spans="49:51" x14ac:dyDescent="0.35">
      <c r="AW85" s="5" t="s">
        <v>365</v>
      </c>
      <c r="AY85" s="5" t="s">
        <v>365</v>
      </c>
    </row>
    <row r="86" spans="49:51" x14ac:dyDescent="0.35">
      <c r="AW86" s="5" t="s">
        <v>355</v>
      </c>
      <c r="AY86" s="5" t="s">
        <v>355</v>
      </c>
    </row>
    <row r="87" spans="49:51" x14ac:dyDescent="0.35">
      <c r="AW87" s="5" t="s">
        <v>352</v>
      </c>
      <c r="AY87" s="5" t="s">
        <v>352</v>
      </c>
    </row>
    <row r="88" spans="49:51" x14ac:dyDescent="0.35">
      <c r="AW88" s="5" t="s">
        <v>317</v>
      </c>
      <c r="AY88" s="5" t="s">
        <v>317</v>
      </c>
    </row>
    <row r="89" spans="49:51" x14ac:dyDescent="0.35">
      <c r="AW89" s="5" t="s">
        <v>398</v>
      </c>
      <c r="AY89" s="5" t="s">
        <v>398</v>
      </c>
    </row>
    <row r="90" spans="49:51" x14ac:dyDescent="0.35">
      <c r="AW90" s="5" t="s">
        <v>337</v>
      </c>
      <c r="AY90" s="5" t="s">
        <v>337</v>
      </c>
    </row>
    <row r="91" spans="49:51" x14ac:dyDescent="0.35">
      <c r="AW91" s="5" t="s">
        <v>405</v>
      </c>
      <c r="AY91" s="5" t="s">
        <v>405</v>
      </c>
    </row>
    <row r="92" spans="49:51" x14ac:dyDescent="0.35">
      <c r="AW92" s="5" t="s">
        <v>390</v>
      </c>
      <c r="AY92" s="5" t="s">
        <v>390</v>
      </c>
    </row>
    <row r="93" spans="49:51" x14ac:dyDescent="0.35">
      <c r="AW93" s="5" t="s">
        <v>366</v>
      </c>
      <c r="AY93" s="5" t="s">
        <v>366</v>
      </c>
    </row>
    <row r="94" spans="49:51" x14ac:dyDescent="0.35">
      <c r="AW94" s="5" t="s">
        <v>408</v>
      </c>
      <c r="AY94" s="5" t="s">
        <v>408</v>
      </c>
    </row>
    <row r="95" spans="49:51" x14ac:dyDescent="0.35">
      <c r="AW95" s="5" t="s">
        <v>378</v>
      </c>
      <c r="AY95" s="5" t="s">
        <v>378</v>
      </c>
    </row>
    <row r="96" spans="49:51" x14ac:dyDescent="0.35">
      <c r="AW96" s="5" t="s">
        <v>386</v>
      </c>
      <c r="AY96" s="5" t="s">
        <v>386</v>
      </c>
    </row>
    <row r="97" spans="49:51" x14ac:dyDescent="0.35">
      <c r="AW97" s="5" t="s">
        <v>382</v>
      </c>
      <c r="AY97" s="5" t="s">
        <v>382</v>
      </c>
    </row>
    <row r="98" spans="49:51" x14ac:dyDescent="0.35">
      <c r="AW98" s="5" t="s">
        <v>343</v>
      </c>
      <c r="AY98" s="5" t="s">
        <v>343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4.5" x14ac:dyDescent="0.35"/>
  <cols>
    <col min="2" max="2" width="11" bestFit="1" customWidth="1"/>
    <col min="4" max="4" width="10.81640625" bestFit="1" customWidth="1"/>
    <col min="5" max="5" width="15" customWidth="1"/>
    <col min="6" max="6" width="67.453125" customWidth="1"/>
  </cols>
  <sheetData>
    <row r="1" spans="1:10" ht="45.65" customHeight="1" x14ac:dyDescent="0.35">
      <c r="A1" s="5" t="s">
        <v>413</v>
      </c>
      <c r="B1" s="5" t="s">
        <v>414</v>
      </c>
      <c r="C1" s="5" t="s">
        <v>415</v>
      </c>
      <c r="D1" s="5" t="s">
        <v>416</v>
      </c>
      <c r="E1" s="23" t="s">
        <v>312</v>
      </c>
      <c r="F1" s="20" t="s">
        <v>534</v>
      </c>
      <c r="G1" s="5"/>
      <c r="H1" s="5"/>
      <c r="I1" s="5"/>
      <c r="J1" s="5"/>
    </row>
    <row r="2" spans="1:10" x14ac:dyDescent="0.35">
      <c r="A2" s="5" t="s">
        <v>417</v>
      </c>
      <c r="B2" s="5" t="s">
        <v>343</v>
      </c>
      <c r="C2" s="5" t="s">
        <v>418</v>
      </c>
      <c r="D2" s="5" t="s">
        <v>412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35">
      <c r="A3" s="5" t="s">
        <v>419</v>
      </c>
      <c r="B3" s="5" t="s">
        <v>317</v>
      </c>
      <c r="C3" s="5" t="s">
        <v>418</v>
      </c>
      <c r="D3" s="5" t="s">
        <v>412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35">
      <c r="A4" s="5" t="s">
        <v>420</v>
      </c>
      <c r="B4" s="5" t="s">
        <v>318</v>
      </c>
      <c r="C4" s="5" t="s">
        <v>418</v>
      </c>
      <c r="D4" s="5" t="s">
        <v>412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35">
      <c r="A5" s="5" t="s">
        <v>421</v>
      </c>
      <c r="B5" s="5" t="s">
        <v>316</v>
      </c>
      <c r="C5" s="5" t="s">
        <v>418</v>
      </c>
      <c r="D5" s="5" t="s">
        <v>412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35">
      <c r="A6" s="5" t="s">
        <v>422</v>
      </c>
      <c r="B6" s="5" t="s">
        <v>320</v>
      </c>
      <c r="C6" s="5" t="s">
        <v>418</v>
      </c>
      <c r="D6" s="5" t="s">
        <v>412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35">
      <c r="A7" s="5" t="s">
        <v>423</v>
      </c>
      <c r="B7" s="5" t="s">
        <v>321</v>
      </c>
      <c r="C7" s="5" t="s">
        <v>418</v>
      </c>
      <c r="D7" s="5" t="s">
        <v>412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35">
      <c r="A8" s="5" t="s">
        <v>424</v>
      </c>
      <c r="B8" s="5" t="s">
        <v>322</v>
      </c>
      <c r="C8" s="5" t="s">
        <v>418</v>
      </c>
      <c r="D8" s="5" t="s">
        <v>412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35">
      <c r="A9" s="5" t="s">
        <v>425</v>
      </c>
      <c r="B9" s="5" t="s">
        <v>323</v>
      </c>
      <c r="C9" s="5" t="s">
        <v>418</v>
      </c>
      <c r="D9" s="5" t="s">
        <v>412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35">
      <c r="A10" s="5" t="s">
        <v>426</v>
      </c>
      <c r="B10" s="5" t="s">
        <v>324</v>
      </c>
      <c r="C10" s="5" t="s">
        <v>418</v>
      </c>
      <c r="D10" s="5" t="s">
        <v>412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35">
      <c r="A11" s="5" t="s">
        <v>427</v>
      </c>
      <c r="B11" s="5" t="s">
        <v>325</v>
      </c>
      <c r="C11" s="5" t="s">
        <v>418</v>
      </c>
      <c r="D11" s="5" t="s">
        <v>412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35">
      <c r="A12" s="5" t="s">
        <v>428</v>
      </c>
      <c r="B12" s="5" t="s">
        <v>326</v>
      </c>
      <c r="C12" s="5" t="s">
        <v>418</v>
      </c>
      <c r="D12" s="5" t="s">
        <v>412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35">
      <c r="A13" s="5" t="s">
        <v>429</v>
      </c>
      <c r="B13" s="5" t="s">
        <v>327</v>
      </c>
      <c r="C13" s="5" t="s">
        <v>418</v>
      </c>
      <c r="D13" s="5" t="s">
        <v>412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35">
      <c r="A14" s="5" t="s">
        <v>430</v>
      </c>
      <c r="B14" s="5" t="s">
        <v>328</v>
      </c>
      <c r="C14" s="5" t="s">
        <v>418</v>
      </c>
      <c r="D14" s="5" t="s">
        <v>412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35">
      <c r="A15" s="5" t="s">
        <v>431</v>
      </c>
      <c r="B15" s="5" t="s">
        <v>329</v>
      </c>
      <c r="C15" s="5" t="s">
        <v>418</v>
      </c>
      <c r="D15" s="5" t="s">
        <v>412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35">
      <c r="A16" s="5" t="s">
        <v>432</v>
      </c>
      <c r="B16" s="5" t="s">
        <v>330</v>
      </c>
      <c r="C16" s="5" t="s">
        <v>418</v>
      </c>
      <c r="D16" s="5" t="s">
        <v>412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35">
      <c r="A17" s="5" t="s">
        <v>433</v>
      </c>
      <c r="B17" s="5" t="s">
        <v>331</v>
      </c>
      <c r="C17" s="5" t="s">
        <v>418</v>
      </c>
      <c r="D17" s="5" t="s">
        <v>412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35">
      <c r="A18" s="5" t="s">
        <v>434</v>
      </c>
      <c r="B18" s="5" t="s">
        <v>332</v>
      </c>
      <c r="C18" s="5" t="s">
        <v>418</v>
      </c>
      <c r="D18" s="5" t="s">
        <v>412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35">
      <c r="A19" s="5" t="s">
        <v>435</v>
      </c>
      <c r="B19" s="5" t="s">
        <v>333</v>
      </c>
      <c r="C19" s="5" t="s">
        <v>418</v>
      </c>
      <c r="D19" s="5" t="s">
        <v>412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35">
      <c r="A20" s="5" t="s">
        <v>436</v>
      </c>
      <c r="B20" s="5" t="s">
        <v>334</v>
      </c>
      <c r="C20" s="5" t="s">
        <v>418</v>
      </c>
      <c r="D20" s="5" t="s">
        <v>412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35">
      <c r="A21" s="5" t="s">
        <v>437</v>
      </c>
      <c r="B21" s="5" t="s">
        <v>335</v>
      </c>
      <c r="C21" s="5" t="s">
        <v>418</v>
      </c>
      <c r="D21" s="5" t="s">
        <v>412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35">
      <c r="A22" s="5" t="s">
        <v>438</v>
      </c>
      <c r="B22" s="5" t="s">
        <v>336</v>
      </c>
      <c r="C22" s="5" t="s">
        <v>418</v>
      </c>
      <c r="D22" s="5" t="s">
        <v>412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35">
      <c r="A23" s="5" t="s">
        <v>439</v>
      </c>
      <c r="B23" s="5" t="s">
        <v>337</v>
      </c>
      <c r="C23" s="5" t="s">
        <v>418</v>
      </c>
      <c r="D23" s="5" t="s">
        <v>412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35">
      <c r="A24" s="5" t="s">
        <v>440</v>
      </c>
      <c r="B24" s="5" t="s">
        <v>338</v>
      </c>
      <c r="C24" s="5" t="s">
        <v>418</v>
      </c>
      <c r="D24" s="5" t="s">
        <v>412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35">
      <c r="A25" s="5" t="s">
        <v>441</v>
      </c>
      <c r="B25" s="5" t="s">
        <v>339</v>
      </c>
      <c r="C25" s="5" t="s">
        <v>418</v>
      </c>
      <c r="D25" s="5" t="s">
        <v>412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35">
      <c r="A26" s="5" t="s">
        <v>442</v>
      </c>
      <c r="B26" s="5" t="s">
        <v>340</v>
      </c>
      <c r="C26" s="5" t="s">
        <v>418</v>
      </c>
      <c r="D26" s="5" t="s">
        <v>412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35">
      <c r="A27" s="5" t="s">
        <v>443</v>
      </c>
      <c r="B27" s="5" t="s">
        <v>341</v>
      </c>
      <c r="C27" s="5" t="s">
        <v>418</v>
      </c>
      <c r="D27" s="5" t="s">
        <v>412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35">
      <c r="A28" s="5" t="s">
        <v>444</v>
      </c>
      <c r="B28" s="5" t="s">
        <v>342</v>
      </c>
      <c r="C28" s="5" t="s">
        <v>418</v>
      </c>
      <c r="D28" s="5" t="s">
        <v>412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35">
      <c r="A29" s="5" t="s">
        <v>445</v>
      </c>
      <c r="B29" s="5" t="s">
        <v>319</v>
      </c>
      <c r="C29" s="5" t="s">
        <v>418</v>
      </c>
      <c r="D29" s="5" t="s">
        <v>412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35">
      <c r="A30" s="5" t="s">
        <v>446</v>
      </c>
      <c r="B30" s="5" t="s">
        <v>344</v>
      </c>
      <c r="C30" s="5" t="s">
        <v>418</v>
      </c>
      <c r="D30" s="5" t="s">
        <v>412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35">
      <c r="A31" s="5" t="s">
        <v>447</v>
      </c>
      <c r="B31" s="5" t="s">
        <v>345</v>
      </c>
      <c r="C31" s="5" t="s">
        <v>418</v>
      </c>
      <c r="D31" s="5" t="s">
        <v>412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35">
      <c r="A32" s="5" t="s">
        <v>448</v>
      </c>
      <c r="B32" s="5" t="s">
        <v>346</v>
      </c>
      <c r="C32" s="5" t="s">
        <v>418</v>
      </c>
      <c r="D32" s="5" t="s">
        <v>412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35">
      <c r="A33" s="5" t="s">
        <v>449</v>
      </c>
      <c r="B33" s="5" t="s">
        <v>347</v>
      </c>
      <c r="C33" s="5" t="s">
        <v>418</v>
      </c>
      <c r="D33" s="5" t="s">
        <v>412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35">
      <c r="A34" s="5" t="s">
        <v>450</v>
      </c>
      <c r="B34" s="5" t="s">
        <v>348</v>
      </c>
      <c r="C34" s="5" t="s">
        <v>418</v>
      </c>
      <c r="D34" s="5" t="s">
        <v>412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35">
      <c r="A35" s="5" t="s">
        <v>451</v>
      </c>
      <c r="B35" s="5" t="s">
        <v>349</v>
      </c>
      <c r="C35" s="5" t="s">
        <v>418</v>
      </c>
      <c r="D35" s="5" t="s">
        <v>412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35">
      <c r="A36" s="5" t="s">
        <v>452</v>
      </c>
      <c r="B36" s="5" t="s">
        <v>350</v>
      </c>
      <c r="C36" s="5" t="s">
        <v>418</v>
      </c>
      <c r="D36" s="5" t="s">
        <v>412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35">
      <c r="A37" s="5" t="s">
        <v>453</v>
      </c>
      <c r="B37" s="5" t="s">
        <v>351</v>
      </c>
      <c r="C37" s="5" t="s">
        <v>418</v>
      </c>
      <c r="D37" s="5" t="s">
        <v>412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35">
      <c r="A38" s="5" t="s">
        <v>454</v>
      </c>
      <c r="B38" s="5" t="s">
        <v>352</v>
      </c>
      <c r="C38" s="5" t="s">
        <v>418</v>
      </c>
      <c r="D38" s="5" t="s">
        <v>412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35">
      <c r="A39" s="5" t="s">
        <v>455</v>
      </c>
      <c r="B39" s="5" t="s">
        <v>353</v>
      </c>
      <c r="C39" s="5" t="s">
        <v>418</v>
      </c>
      <c r="D39" s="5" t="s">
        <v>412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35">
      <c r="A40" s="5" t="s">
        <v>456</v>
      </c>
      <c r="B40" s="5" t="s">
        <v>354</v>
      </c>
      <c r="C40" s="5" t="s">
        <v>418</v>
      </c>
      <c r="D40" s="5" t="s">
        <v>412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35">
      <c r="A41" s="5" t="s">
        <v>457</v>
      </c>
      <c r="B41" s="5" t="s">
        <v>355</v>
      </c>
      <c r="C41" s="5" t="s">
        <v>418</v>
      </c>
      <c r="D41" s="5" t="s">
        <v>412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35">
      <c r="A42" s="5" t="s">
        <v>458</v>
      </c>
      <c r="B42" s="5" t="s">
        <v>356</v>
      </c>
      <c r="C42" s="5" t="s">
        <v>418</v>
      </c>
      <c r="D42" s="5" t="s">
        <v>412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35">
      <c r="A43" s="5" t="s">
        <v>459</v>
      </c>
      <c r="B43" s="5" t="s">
        <v>357</v>
      </c>
      <c r="C43" s="5" t="s">
        <v>418</v>
      </c>
      <c r="D43" s="5" t="s">
        <v>412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35">
      <c r="A44" s="5" t="s">
        <v>460</v>
      </c>
      <c r="B44" s="5" t="s">
        <v>358</v>
      </c>
      <c r="C44" s="5" t="s">
        <v>418</v>
      </c>
      <c r="D44" s="5" t="s">
        <v>412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35">
      <c r="A45" s="5" t="s">
        <v>461</v>
      </c>
      <c r="B45" s="5" t="s">
        <v>359</v>
      </c>
      <c r="C45" s="5" t="s">
        <v>418</v>
      </c>
      <c r="D45" s="5" t="s">
        <v>412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35">
      <c r="A46" s="5" t="s">
        <v>462</v>
      </c>
      <c r="B46" s="5" t="s">
        <v>360</v>
      </c>
      <c r="C46" s="5" t="s">
        <v>418</v>
      </c>
      <c r="D46" s="5" t="s">
        <v>412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35">
      <c r="A47" s="5" t="s">
        <v>463</v>
      </c>
      <c r="B47" s="5" t="s">
        <v>361</v>
      </c>
      <c r="C47" s="5" t="s">
        <v>418</v>
      </c>
      <c r="D47" s="5" t="s">
        <v>412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35">
      <c r="A48" s="5" t="s">
        <v>464</v>
      </c>
      <c r="B48" s="5" t="s">
        <v>362</v>
      </c>
      <c r="C48" s="5" t="s">
        <v>418</v>
      </c>
      <c r="D48" s="5" t="s">
        <v>412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35">
      <c r="A49" s="5" t="s">
        <v>465</v>
      </c>
      <c r="B49" s="5" t="s">
        <v>363</v>
      </c>
      <c r="C49" s="5" t="s">
        <v>418</v>
      </c>
      <c r="D49" s="5" t="s">
        <v>412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35">
      <c r="A50" s="5" t="s">
        <v>466</v>
      </c>
      <c r="B50" s="5" t="s">
        <v>364</v>
      </c>
      <c r="C50" s="5" t="s">
        <v>418</v>
      </c>
      <c r="D50" s="5" t="s">
        <v>412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35">
      <c r="A51" s="5" t="s">
        <v>467</v>
      </c>
      <c r="B51" s="5" t="s">
        <v>365</v>
      </c>
      <c r="C51" s="5" t="s">
        <v>418</v>
      </c>
      <c r="D51" s="5" t="s">
        <v>412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35">
      <c r="A52" s="5" t="s">
        <v>468</v>
      </c>
      <c r="B52" s="5" t="s">
        <v>366</v>
      </c>
      <c r="C52" s="5" t="s">
        <v>418</v>
      </c>
      <c r="D52" s="5" t="s">
        <v>412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35">
      <c r="A53" s="5" t="s">
        <v>469</v>
      </c>
      <c r="B53" s="5" t="s">
        <v>367</v>
      </c>
      <c r="C53" s="5" t="s">
        <v>418</v>
      </c>
      <c r="D53" s="5" t="s">
        <v>412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35">
      <c r="A54" s="5" t="s">
        <v>470</v>
      </c>
      <c r="B54" s="5" t="s">
        <v>368</v>
      </c>
      <c r="C54" s="5" t="s">
        <v>418</v>
      </c>
      <c r="D54" s="5" t="s">
        <v>412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35">
      <c r="A55" s="5" t="s">
        <v>471</v>
      </c>
      <c r="B55" s="5" t="s">
        <v>369</v>
      </c>
      <c r="C55" s="5" t="s">
        <v>418</v>
      </c>
      <c r="D55" s="5" t="s">
        <v>412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35">
      <c r="A56" s="5" t="s">
        <v>472</v>
      </c>
      <c r="B56" s="5" t="s">
        <v>370</v>
      </c>
      <c r="C56" s="5" t="s">
        <v>418</v>
      </c>
      <c r="D56" s="5" t="s">
        <v>412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35">
      <c r="A57" s="5" t="s">
        <v>473</v>
      </c>
      <c r="B57" s="5" t="s">
        <v>371</v>
      </c>
      <c r="C57" s="5" t="s">
        <v>418</v>
      </c>
      <c r="D57" s="5" t="s">
        <v>412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35">
      <c r="A58" s="5" t="s">
        <v>474</v>
      </c>
      <c r="B58" s="5" t="s">
        <v>372</v>
      </c>
      <c r="C58" s="5" t="s">
        <v>418</v>
      </c>
      <c r="D58" s="5" t="s">
        <v>412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35">
      <c r="A59" s="5" t="s">
        <v>475</v>
      </c>
      <c r="B59" s="5" t="s">
        <v>373</v>
      </c>
      <c r="C59" s="5" t="s">
        <v>418</v>
      </c>
      <c r="D59" s="5" t="s">
        <v>412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35">
      <c r="A60" s="5" t="s">
        <v>476</v>
      </c>
      <c r="B60" s="5" t="s">
        <v>374</v>
      </c>
      <c r="C60" s="5" t="s">
        <v>418</v>
      </c>
      <c r="D60" s="5" t="s">
        <v>412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35">
      <c r="A61" s="5" t="s">
        <v>477</v>
      </c>
      <c r="B61" s="5" t="s">
        <v>375</v>
      </c>
      <c r="C61" s="5" t="s">
        <v>418</v>
      </c>
      <c r="D61" s="5" t="s">
        <v>412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35">
      <c r="A62" s="5" t="s">
        <v>478</v>
      </c>
      <c r="B62" s="5" t="s">
        <v>376</v>
      </c>
      <c r="C62" s="5" t="s">
        <v>418</v>
      </c>
      <c r="D62" s="5" t="s">
        <v>412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35">
      <c r="A63" s="5" t="s">
        <v>479</v>
      </c>
      <c r="B63" s="5" t="s">
        <v>377</v>
      </c>
      <c r="C63" s="5" t="s">
        <v>418</v>
      </c>
      <c r="D63" s="5" t="s">
        <v>412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35">
      <c r="A64" s="5" t="s">
        <v>480</v>
      </c>
      <c r="B64" s="5" t="s">
        <v>378</v>
      </c>
      <c r="C64" s="5" t="s">
        <v>418</v>
      </c>
      <c r="D64" s="5" t="s">
        <v>412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35">
      <c r="A65" s="5" t="s">
        <v>481</v>
      </c>
      <c r="B65" s="5" t="s">
        <v>379</v>
      </c>
      <c r="C65" s="5" t="s">
        <v>418</v>
      </c>
      <c r="D65" s="5" t="s">
        <v>412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35">
      <c r="A66" s="5" t="s">
        <v>482</v>
      </c>
      <c r="B66" s="5" t="s">
        <v>380</v>
      </c>
      <c r="C66" s="5" t="s">
        <v>418</v>
      </c>
      <c r="D66" s="5" t="s">
        <v>412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35">
      <c r="A67" s="5" t="s">
        <v>483</v>
      </c>
      <c r="B67" s="5" t="s">
        <v>381</v>
      </c>
      <c r="C67" s="5" t="s">
        <v>418</v>
      </c>
      <c r="D67" s="5" t="s">
        <v>412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35">
      <c r="A68" s="5" t="s">
        <v>484</v>
      </c>
      <c r="B68" s="5" t="s">
        <v>382</v>
      </c>
      <c r="C68" s="5" t="s">
        <v>418</v>
      </c>
      <c r="D68" s="5" t="s">
        <v>412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35">
      <c r="A69" s="5" t="s">
        <v>485</v>
      </c>
      <c r="B69" s="5" t="s">
        <v>383</v>
      </c>
      <c r="C69" s="5" t="s">
        <v>418</v>
      </c>
      <c r="D69" s="5" t="s">
        <v>412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35">
      <c r="A70" s="5" t="s">
        <v>486</v>
      </c>
      <c r="B70" s="5" t="s">
        <v>384</v>
      </c>
      <c r="C70" s="5" t="s">
        <v>418</v>
      </c>
      <c r="D70" s="5" t="s">
        <v>412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35">
      <c r="A71" s="5" t="s">
        <v>487</v>
      </c>
      <c r="B71" s="5" t="s">
        <v>385</v>
      </c>
      <c r="C71" s="5" t="s">
        <v>418</v>
      </c>
      <c r="D71" s="5" t="s">
        <v>412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35">
      <c r="A72" s="5" t="s">
        <v>488</v>
      </c>
      <c r="B72" s="5" t="s">
        <v>386</v>
      </c>
      <c r="C72" s="5" t="s">
        <v>418</v>
      </c>
      <c r="D72" s="5" t="s">
        <v>412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35">
      <c r="A73" s="5" t="s">
        <v>489</v>
      </c>
      <c r="B73" s="5" t="s">
        <v>387</v>
      </c>
      <c r="C73" s="5" t="s">
        <v>418</v>
      </c>
      <c r="D73" s="5" t="s">
        <v>412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35">
      <c r="A74" s="5" t="s">
        <v>490</v>
      </c>
      <c r="B74" s="5" t="s">
        <v>388</v>
      </c>
      <c r="C74" s="5" t="s">
        <v>418</v>
      </c>
      <c r="D74" s="5" t="s">
        <v>412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35">
      <c r="A75" s="5" t="s">
        <v>491</v>
      </c>
      <c r="B75" s="5" t="s">
        <v>389</v>
      </c>
      <c r="C75" s="5" t="s">
        <v>418</v>
      </c>
      <c r="D75" s="5" t="s">
        <v>412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35">
      <c r="A76" s="5" t="s">
        <v>492</v>
      </c>
      <c r="B76" s="5" t="s">
        <v>390</v>
      </c>
      <c r="C76" s="5" t="s">
        <v>418</v>
      </c>
      <c r="D76" s="5" t="s">
        <v>412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35">
      <c r="A77" s="5" t="s">
        <v>493</v>
      </c>
      <c r="B77" s="5" t="s">
        <v>391</v>
      </c>
      <c r="C77" s="5" t="s">
        <v>418</v>
      </c>
      <c r="D77" s="5" t="s">
        <v>412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35">
      <c r="A78" s="5" t="s">
        <v>494</v>
      </c>
      <c r="B78" s="5" t="s">
        <v>392</v>
      </c>
      <c r="C78" s="5" t="s">
        <v>418</v>
      </c>
      <c r="D78" s="5" t="s">
        <v>412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35">
      <c r="A79" s="5" t="s">
        <v>495</v>
      </c>
      <c r="B79" s="5" t="s">
        <v>393</v>
      </c>
      <c r="C79" s="5" t="s">
        <v>418</v>
      </c>
      <c r="D79" s="5" t="s">
        <v>412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35">
      <c r="A80" s="5" t="s">
        <v>496</v>
      </c>
      <c r="B80" s="5" t="s">
        <v>394</v>
      </c>
      <c r="C80" s="5" t="s">
        <v>418</v>
      </c>
      <c r="D80" s="5" t="s">
        <v>412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35">
      <c r="A81" s="5" t="s">
        <v>497</v>
      </c>
      <c r="B81" s="5" t="s">
        <v>395</v>
      </c>
      <c r="C81" s="5" t="s">
        <v>418</v>
      </c>
      <c r="D81" s="5" t="s">
        <v>412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35">
      <c r="A82" s="5" t="s">
        <v>498</v>
      </c>
      <c r="B82" s="5" t="s">
        <v>396</v>
      </c>
      <c r="C82" s="5" t="s">
        <v>418</v>
      </c>
      <c r="D82" s="5" t="s">
        <v>412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35">
      <c r="A83" s="5" t="s">
        <v>499</v>
      </c>
      <c r="B83" s="5" t="s">
        <v>397</v>
      </c>
      <c r="C83" s="5" t="s">
        <v>418</v>
      </c>
      <c r="D83" s="5" t="s">
        <v>412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35">
      <c r="A84" s="5" t="s">
        <v>500</v>
      </c>
      <c r="B84" s="5" t="s">
        <v>398</v>
      </c>
      <c r="C84" s="5" t="s">
        <v>418</v>
      </c>
      <c r="D84" s="5" t="s">
        <v>412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35">
      <c r="A85" s="5" t="s">
        <v>501</v>
      </c>
      <c r="B85" s="5" t="s">
        <v>399</v>
      </c>
      <c r="C85" s="5" t="s">
        <v>418</v>
      </c>
      <c r="D85" s="5" t="s">
        <v>412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35">
      <c r="A86" s="5" t="s">
        <v>502</v>
      </c>
      <c r="B86" s="5" t="s">
        <v>400</v>
      </c>
      <c r="C86" s="5" t="s">
        <v>418</v>
      </c>
      <c r="D86" s="5" t="s">
        <v>412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35">
      <c r="A87" s="5" t="s">
        <v>503</v>
      </c>
      <c r="B87" s="5" t="s">
        <v>401</v>
      </c>
      <c r="C87" s="5" t="s">
        <v>418</v>
      </c>
      <c r="D87" s="5" t="s">
        <v>412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35">
      <c r="A88" s="5" t="s">
        <v>504</v>
      </c>
      <c r="B88" s="5" t="s">
        <v>402</v>
      </c>
      <c r="C88" s="5" t="s">
        <v>418</v>
      </c>
      <c r="D88" s="5" t="s">
        <v>412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35">
      <c r="A89" s="5" t="s">
        <v>505</v>
      </c>
      <c r="B89" s="5" t="s">
        <v>403</v>
      </c>
      <c r="C89" s="5" t="s">
        <v>418</v>
      </c>
      <c r="D89" s="5" t="s">
        <v>412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35">
      <c r="A90" s="5" t="s">
        <v>506</v>
      </c>
      <c r="B90" s="5" t="s">
        <v>404</v>
      </c>
      <c r="C90" s="5" t="s">
        <v>418</v>
      </c>
      <c r="D90" s="5" t="s">
        <v>412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35">
      <c r="A91" s="5" t="s">
        <v>507</v>
      </c>
      <c r="B91" s="5" t="s">
        <v>405</v>
      </c>
      <c r="C91" s="5" t="s">
        <v>418</v>
      </c>
      <c r="D91" s="5" t="s">
        <v>412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35">
      <c r="A92" s="5" t="s">
        <v>508</v>
      </c>
      <c r="B92" s="5" t="s">
        <v>406</v>
      </c>
      <c r="C92" s="5" t="s">
        <v>418</v>
      </c>
      <c r="D92" s="5" t="s">
        <v>412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35">
      <c r="A93" s="5" t="s">
        <v>509</v>
      </c>
      <c r="B93" s="5" t="s">
        <v>407</v>
      </c>
      <c r="C93" s="5" t="s">
        <v>418</v>
      </c>
      <c r="D93" s="5" t="s">
        <v>412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35">
      <c r="A94" s="5" t="s">
        <v>510</v>
      </c>
      <c r="B94" s="5" t="s">
        <v>408</v>
      </c>
      <c r="C94" s="5" t="s">
        <v>418</v>
      </c>
      <c r="D94" s="5" t="s">
        <v>412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35">
      <c r="A95" s="5" t="s">
        <v>511</v>
      </c>
      <c r="B95" s="5" t="s">
        <v>409</v>
      </c>
      <c r="C95" s="5" t="s">
        <v>418</v>
      </c>
      <c r="D95" s="5" t="s">
        <v>412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35">
      <c r="A96" s="5" t="s">
        <v>512</v>
      </c>
      <c r="B96" s="5" t="s">
        <v>410</v>
      </c>
      <c r="C96" s="5" t="s">
        <v>418</v>
      </c>
      <c r="D96" s="5" t="s">
        <v>412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35">
      <c r="A97" s="5" t="s">
        <v>513</v>
      </c>
      <c r="B97" s="5" t="s">
        <v>411</v>
      </c>
      <c r="C97" s="5" t="s">
        <v>418</v>
      </c>
      <c r="D97" s="5" t="s">
        <v>412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35">
      <c r="A98" s="22"/>
      <c r="E98" s="9" t="str">
        <f>IF(B98="", "",COUNTIF(RawData!G:G,B98)&gt;0)</f>
        <v/>
      </c>
      <c r="G98" s="21"/>
    </row>
    <row r="99" spans="1:10" x14ac:dyDescent="0.35">
      <c r="E99" s="9" t="str">
        <f>IF(B99="", "",COUNTIF(RawData!G:G,B99)&gt;0)</f>
        <v/>
      </c>
    </row>
    <row r="100" spans="1:10" x14ac:dyDescent="0.35">
      <c r="E100" s="9" t="str">
        <f>IF(B100="", "",COUNTIF(RawData!G:G,B100)&gt;0)</f>
        <v/>
      </c>
    </row>
    <row r="101" spans="1:10" x14ac:dyDescent="0.35">
      <c r="E101" s="9" t="str">
        <f>IF(B101="", "",COUNTIF(RawData!G:G,B101)&gt;0)</f>
        <v/>
      </c>
    </row>
    <row r="102" spans="1:10" x14ac:dyDescent="0.35">
      <c r="E102" s="9" t="str">
        <f>IF(B102="", "",COUNTIF(RawData!G:G,B102)&gt;0)</f>
        <v/>
      </c>
    </row>
    <row r="103" spans="1:10" x14ac:dyDescent="0.35">
      <c r="E103" s="9" t="str">
        <f>IF(B103="", "",COUNTIF(RawData!G:G,B103)&gt;0)</f>
        <v/>
      </c>
    </row>
    <row r="104" spans="1:10" x14ac:dyDescent="0.35">
      <c r="E104" s="9" t="str">
        <f>IF(B104="", "",COUNTIF(RawData!G:G,B104)&gt;0)</f>
        <v/>
      </c>
    </row>
    <row r="105" spans="1:10" x14ac:dyDescent="0.35">
      <c r="E105" s="9" t="str">
        <f>IF(B105="", "",COUNTIF(RawData!G:G,B105)&gt;0)</f>
        <v/>
      </c>
    </row>
    <row r="106" spans="1:10" x14ac:dyDescent="0.35">
      <c r="E106" s="9" t="str">
        <f>IF(B106="", "",COUNTIF(RawData!G:G,B106)&gt;0)</f>
        <v/>
      </c>
    </row>
    <row r="107" spans="1:10" x14ac:dyDescent="0.35">
      <c r="E107" s="9" t="str">
        <f>IF(B107="", "",COUNTIF(RawData!G:G,B107)&gt;0)</f>
        <v/>
      </c>
    </row>
    <row r="108" spans="1:10" x14ac:dyDescent="0.35">
      <c r="E108" s="9" t="str">
        <f>IF(B108="", "",COUNTIF(RawData!G:G,B108)&gt;0)</f>
        <v/>
      </c>
    </row>
    <row r="109" spans="1:10" x14ac:dyDescent="0.35">
      <c r="E109" s="9" t="str">
        <f>IF(B109="", "",COUNTIF(RawData!G:G,B109)&gt;0)</f>
        <v/>
      </c>
    </row>
    <row r="110" spans="1:10" x14ac:dyDescent="0.35">
      <c r="E110" s="9" t="str">
        <f>IF(B110="", "",COUNTIF(RawData!G:G,B110)&gt;0)</f>
        <v/>
      </c>
    </row>
    <row r="111" spans="1:10" x14ac:dyDescent="0.35">
      <c r="E111" s="9" t="str">
        <f>IF(B111="", "",COUNTIF(RawData!G:G,B111)&gt;0)</f>
        <v/>
      </c>
    </row>
    <row r="112" spans="1:10" x14ac:dyDescent="0.35">
      <c r="E112" s="9" t="str">
        <f>IF(B112="", "",COUNTIF(RawData!G:G,B112)&gt;0)</f>
        <v/>
      </c>
    </row>
    <row r="113" spans="5:5" x14ac:dyDescent="0.35">
      <c r="E113" s="9" t="str">
        <f>IF(B113="", "",COUNTIF(RawData!G:G,B113)&gt;0)</f>
        <v/>
      </c>
    </row>
    <row r="114" spans="5:5" x14ac:dyDescent="0.35">
      <c r="E114" s="9" t="str">
        <f>IF(B114="", "",COUNTIF(RawData!G:G,B114)&gt;0)</f>
        <v/>
      </c>
    </row>
    <row r="115" spans="5:5" x14ac:dyDescent="0.35">
      <c r="E115" s="9" t="str">
        <f>IF(B115="", "",COUNTIF(RawData!G:G,B115)&gt;0)</f>
        <v/>
      </c>
    </row>
    <row r="116" spans="5:5" x14ac:dyDescent="0.35">
      <c r="E116" s="9" t="str">
        <f>IF(B116="", "",COUNTIF(RawData!G:G,B116)&gt;0)</f>
        <v/>
      </c>
    </row>
    <row r="117" spans="5:5" x14ac:dyDescent="0.35">
      <c r="E117" s="9" t="str">
        <f>IF(B117="", "",COUNTIF(RawData!G:G,B117)&gt;0)</f>
        <v/>
      </c>
    </row>
    <row r="118" spans="5:5" x14ac:dyDescent="0.35">
      <c r="E118" s="9" t="str">
        <f>IF(B118="", "",COUNTIF(RawData!G:G,B118)&gt;0)</f>
        <v/>
      </c>
    </row>
    <row r="119" spans="5:5" x14ac:dyDescent="0.35">
      <c r="E119" s="9" t="str">
        <f>IF(B119="", "",COUNTIF(RawData!G:G,B119)&gt;0)</f>
        <v/>
      </c>
    </row>
    <row r="120" spans="5:5" x14ac:dyDescent="0.35">
      <c r="E120" s="9" t="str">
        <f>IF(B120="", "",COUNTIF(RawData!G:G,B120)&gt;0)</f>
        <v/>
      </c>
    </row>
    <row r="121" spans="5:5" x14ac:dyDescent="0.35">
      <c r="E121" s="9" t="str">
        <f>IF(B121="", "",COUNTIF(RawData!G:G,B121)&gt;0)</f>
        <v/>
      </c>
    </row>
    <row r="122" spans="5:5" x14ac:dyDescent="0.35">
      <c r="E122" s="9" t="str">
        <f>IF(B122="", "",COUNTIF(RawData!G:G,B122)&gt;0)</f>
        <v/>
      </c>
    </row>
    <row r="123" spans="5:5" x14ac:dyDescent="0.35">
      <c r="E123" s="9" t="str">
        <f>IF(B123="", "",COUNTIF(RawData!G:G,B123)&gt;0)</f>
        <v/>
      </c>
    </row>
    <row r="124" spans="5:5" x14ac:dyDescent="0.35">
      <c r="E124" s="9" t="str">
        <f>IF(B124="", "",COUNTIF(RawData!G:G,B124)&gt;0)</f>
        <v/>
      </c>
    </row>
    <row r="125" spans="5:5" x14ac:dyDescent="0.35">
      <c r="E125" s="9" t="str">
        <f>IF(B125="", "",COUNTIF(RawData!G:G,B125)&gt;0)</f>
        <v/>
      </c>
    </row>
    <row r="126" spans="5:5" x14ac:dyDescent="0.35">
      <c r="E126" s="9" t="str">
        <f>IF(B126="", "",COUNTIF(RawData!G:G,B126)&gt;0)</f>
        <v/>
      </c>
    </row>
    <row r="127" spans="5:5" x14ac:dyDescent="0.35">
      <c r="E127" s="9" t="str">
        <f>IF(B127="", "",COUNTIF(RawData!G:G,B127)&gt;0)</f>
        <v/>
      </c>
    </row>
    <row r="128" spans="5:5" x14ac:dyDescent="0.35">
      <c r="E128" s="9" t="str">
        <f>IF(B128="", "",COUNTIF(RawData!G:G,B128)&gt;0)</f>
        <v/>
      </c>
    </row>
    <row r="129" spans="5:5" x14ac:dyDescent="0.35">
      <c r="E129" s="9" t="str">
        <f>IF(B129="", "",COUNTIF(RawData!G:G,B129)&gt;0)</f>
        <v/>
      </c>
    </row>
    <row r="130" spans="5:5" x14ac:dyDescent="0.35">
      <c r="E130" s="9" t="str">
        <f>IF(B130="", "",COUNTIF(RawData!G:G,B130)&gt;0)</f>
        <v/>
      </c>
    </row>
    <row r="131" spans="5:5" x14ac:dyDescent="0.35">
      <c r="E131" s="9" t="str">
        <f>IF(B131="", "",COUNTIF(RawData!G:G,B131)&gt;0)</f>
        <v/>
      </c>
    </row>
    <row r="132" spans="5:5" x14ac:dyDescent="0.35">
      <c r="E132" s="9" t="str">
        <f>IF(B132="", "",COUNTIF(RawData!G:G,B132)&gt;0)</f>
        <v/>
      </c>
    </row>
    <row r="133" spans="5:5" x14ac:dyDescent="0.35">
      <c r="E133" s="9" t="str">
        <f>IF(B133="", "",COUNTIF(RawData!G:G,B133)&gt;0)</f>
        <v/>
      </c>
    </row>
    <row r="134" spans="5:5" x14ac:dyDescent="0.35">
      <c r="E134" s="9" t="str">
        <f>IF(B134="", "",COUNTIF(RawData!G:G,B134)&gt;0)</f>
        <v/>
      </c>
    </row>
    <row r="135" spans="5:5" x14ac:dyDescent="0.35">
      <c r="E135" s="9" t="str">
        <f>IF(B135="", "",COUNTIF(RawData!G:G,B135)&gt;0)</f>
        <v/>
      </c>
    </row>
    <row r="136" spans="5:5" x14ac:dyDescent="0.35">
      <c r="E136" s="9" t="str">
        <f>IF(B136="", "",COUNTIF(RawData!G:G,B136)&gt;0)</f>
        <v/>
      </c>
    </row>
    <row r="137" spans="5:5" x14ac:dyDescent="0.35">
      <c r="E137" s="9" t="str">
        <f>IF(B137="", "",COUNTIF(RawData!G:G,B137)&gt;0)</f>
        <v/>
      </c>
    </row>
    <row r="138" spans="5:5" x14ac:dyDescent="0.35">
      <c r="E138" s="9" t="str">
        <f>IF(B138="", "",COUNTIF(RawData!G:G,B138)&gt;0)</f>
        <v/>
      </c>
    </row>
    <row r="139" spans="5:5" x14ac:dyDescent="0.35">
      <c r="E139" s="9" t="str">
        <f>IF(B139="", "",COUNTIF(RawData!G:G,B139)&gt;0)</f>
        <v/>
      </c>
    </row>
    <row r="140" spans="5:5" x14ac:dyDescent="0.35">
      <c r="E140" s="9" t="str">
        <f>IF(B140="", "",COUNTIF(RawData!G:G,B140)&gt;0)</f>
        <v/>
      </c>
    </row>
    <row r="141" spans="5:5" x14ac:dyDescent="0.35">
      <c r="E141" s="9" t="str">
        <f>IF(B141="", "",COUNTIF(RawData!G:G,B141)&gt;0)</f>
        <v/>
      </c>
    </row>
    <row r="142" spans="5:5" x14ac:dyDescent="0.35">
      <c r="E142" s="9" t="str">
        <f>IF(B142="", "",COUNTIF(RawData!G:G,B142)&gt;0)</f>
        <v/>
      </c>
    </row>
    <row r="143" spans="5:5" x14ac:dyDescent="0.35">
      <c r="E143" s="9" t="str">
        <f>IF(B143="", "",COUNTIF(RawData!G:G,B143)&gt;0)</f>
        <v/>
      </c>
    </row>
    <row r="144" spans="5:5" x14ac:dyDescent="0.35">
      <c r="E144" s="9" t="str">
        <f>IF(B144="", "",COUNTIF(RawData!G:G,B144)&gt;0)</f>
        <v/>
      </c>
    </row>
    <row r="145" spans="5:5" x14ac:dyDescent="0.35">
      <c r="E145" s="9" t="str">
        <f>IF(B145="", "",COUNTIF(RawData!G:G,B145)&gt;0)</f>
        <v/>
      </c>
    </row>
    <row r="146" spans="5:5" x14ac:dyDescent="0.35">
      <c r="E146" s="9" t="str">
        <f>IF(B146="", "",COUNTIF(RawData!G:G,B146)&gt;0)</f>
        <v/>
      </c>
    </row>
    <row r="147" spans="5:5" x14ac:dyDescent="0.35">
      <c r="E147" s="9" t="str">
        <f>IF(B147="", "",COUNTIF(RawData!G:G,B147)&gt;0)</f>
        <v/>
      </c>
    </row>
    <row r="148" spans="5:5" x14ac:dyDescent="0.35">
      <c r="E148" s="9" t="str">
        <f>IF(B148="", "",COUNTIF(RawData!G:G,B148)&gt;0)</f>
        <v/>
      </c>
    </row>
    <row r="149" spans="5:5" x14ac:dyDescent="0.35">
      <c r="E149" s="9" t="str">
        <f>IF(B149="", "",COUNTIF(RawData!G:G,B149)&gt;0)</f>
        <v/>
      </c>
    </row>
    <row r="150" spans="5:5" x14ac:dyDescent="0.35">
      <c r="E150" s="9" t="str">
        <f>IF(B150="", "",COUNTIF(RawData!G:G,B150)&gt;0)</f>
        <v/>
      </c>
    </row>
    <row r="151" spans="5:5" x14ac:dyDescent="0.35">
      <c r="E151" s="9" t="str">
        <f>IF(B151="", "",COUNTIF(RawData!G:G,B151)&gt;0)</f>
        <v/>
      </c>
    </row>
    <row r="152" spans="5:5" x14ac:dyDescent="0.35">
      <c r="E152" s="9" t="str">
        <f>IF(B152="", "",COUNTIF(RawData!G:G,B152)&gt;0)</f>
        <v/>
      </c>
    </row>
    <row r="153" spans="5:5" x14ac:dyDescent="0.35">
      <c r="E153" s="9" t="str">
        <f>IF(B153="", "",COUNTIF(RawData!G:G,B153)&gt;0)</f>
        <v/>
      </c>
    </row>
    <row r="154" spans="5:5" x14ac:dyDescent="0.35">
      <c r="E154" s="9" t="str">
        <f>IF(B154="", "",COUNTIF(RawData!G:G,B154)&gt;0)</f>
        <v/>
      </c>
    </row>
    <row r="155" spans="5:5" x14ac:dyDescent="0.35">
      <c r="E155" s="9" t="str">
        <f>IF(B155="", "",COUNTIF(RawData!G:G,B155)&gt;0)</f>
        <v/>
      </c>
    </row>
    <row r="156" spans="5:5" x14ac:dyDescent="0.35">
      <c r="E156" s="9" t="str">
        <f>IF(B156="", "",COUNTIF(RawData!G:G,B156)&gt;0)</f>
        <v/>
      </c>
    </row>
    <row r="157" spans="5:5" x14ac:dyDescent="0.35">
      <c r="E157" s="9" t="str">
        <f>IF(B157="", "",COUNTIF(RawData!G:G,B157)&gt;0)</f>
        <v/>
      </c>
    </row>
    <row r="158" spans="5:5" x14ac:dyDescent="0.35">
      <c r="E158" s="9" t="str">
        <f>IF(B158="", "",COUNTIF(RawData!G:G,B158)&gt;0)</f>
        <v/>
      </c>
    </row>
    <row r="159" spans="5:5" x14ac:dyDescent="0.35">
      <c r="E159" s="9" t="str">
        <f>IF(B159="", "",COUNTIF(RawData!G:G,B159)&gt;0)</f>
        <v/>
      </c>
    </row>
    <row r="160" spans="5:5" x14ac:dyDescent="0.35">
      <c r="E160" s="9" t="str">
        <f>IF(B160="", "",COUNTIF(RawData!G:G,B160)&gt;0)</f>
        <v/>
      </c>
    </row>
    <row r="161" spans="5:5" x14ac:dyDescent="0.35">
      <c r="E161" s="9" t="str">
        <f>IF(B161="", "",COUNTIF(RawData!G:G,B161)&gt;0)</f>
        <v/>
      </c>
    </row>
    <row r="162" spans="5:5" x14ac:dyDescent="0.35">
      <c r="E162" s="9" t="str">
        <f>IF(B162="", "",COUNTIF(RawData!G:G,B162)&gt;0)</f>
        <v/>
      </c>
    </row>
    <row r="163" spans="5:5" x14ac:dyDescent="0.35">
      <c r="E163" s="9" t="str">
        <f>IF(B163="", "",COUNTIF(RawData!G:G,B163)&gt;0)</f>
        <v/>
      </c>
    </row>
    <row r="164" spans="5:5" x14ac:dyDescent="0.35">
      <c r="E164" s="9" t="str">
        <f>IF(B164="", "",COUNTIF(RawData!G:G,B164)&gt;0)</f>
        <v/>
      </c>
    </row>
    <row r="165" spans="5:5" x14ac:dyDescent="0.35">
      <c r="E165" s="9" t="str">
        <f>IF(B165="", "",COUNTIF(RawData!G:G,B165)&gt;0)</f>
        <v/>
      </c>
    </row>
    <row r="166" spans="5:5" x14ac:dyDescent="0.35">
      <c r="E166" s="9" t="str">
        <f>IF(B166="", "",COUNTIF(RawData!G:G,B166)&gt;0)</f>
        <v/>
      </c>
    </row>
    <row r="167" spans="5:5" x14ac:dyDescent="0.35">
      <c r="E167" s="9" t="str">
        <f>IF(B167="", "",COUNTIF(RawData!G:G,B167)&gt;0)</f>
        <v/>
      </c>
    </row>
    <row r="168" spans="5:5" x14ac:dyDescent="0.35">
      <c r="E168" s="9" t="str">
        <f>IF(B168="", "",COUNTIF(RawData!G:G,B168)&gt;0)</f>
        <v/>
      </c>
    </row>
    <row r="169" spans="5:5" x14ac:dyDescent="0.35">
      <c r="E169" s="9" t="str">
        <f>IF(B169="", "",COUNTIF(RawData!G:G,B169)&gt;0)</f>
        <v/>
      </c>
    </row>
    <row r="170" spans="5:5" x14ac:dyDescent="0.35">
      <c r="E170" s="9" t="str">
        <f>IF(B170="", "",COUNTIF(RawData!G:G,B170)&gt;0)</f>
        <v/>
      </c>
    </row>
    <row r="171" spans="5:5" x14ac:dyDescent="0.35">
      <c r="E171" s="9" t="str">
        <f>IF(B171="", "",COUNTIF(RawData!G:G,B171)&gt;0)</f>
        <v/>
      </c>
    </row>
    <row r="172" spans="5:5" x14ac:dyDescent="0.35">
      <c r="E172" s="9" t="str">
        <f>IF(B172="", "",COUNTIF(RawData!G:G,B172)&gt;0)</f>
        <v/>
      </c>
    </row>
    <row r="173" spans="5:5" x14ac:dyDescent="0.35">
      <c r="E173" s="9" t="str">
        <f>IF(B173="", "",COUNTIF(RawData!G:G,B173)&gt;0)</f>
        <v/>
      </c>
    </row>
    <row r="174" spans="5:5" x14ac:dyDescent="0.35">
      <c r="E174" s="9" t="str">
        <f>IF(B174="", "",COUNTIF(RawData!G:G,B174)&gt;0)</f>
        <v/>
      </c>
    </row>
    <row r="175" spans="5:5" x14ac:dyDescent="0.35">
      <c r="E175" s="9" t="str">
        <f>IF(B175="", "",COUNTIF(RawData!G:G,B175)&gt;0)</f>
        <v/>
      </c>
    </row>
    <row r="176" spans="5:5" x14ac:dyDescent="0.35">
      <c r="E176" s="9" t="str">
        <f>IF(B176="", "",COUNTIF(RawData!G:G,B176)&gt;0)</f>
        <v/>
      </c>
    </row>
    <row r="177" spans="5:5" x14ac:dyDescent="0.35">
      <c r="E177" s="9" t="str">
        <f>IF(B177="", "",COUNTIF(RawData!G:G,B177)&gt;0)</f>
        <v/>
      </c>
    </row>
    <row r="178" spans="5:5" x14ac:dyDescent="0.35">
      <c r="E178" s="9" t="str">
        <f>IF(B178="", "",COUNTIF(RawData!G:G,B178)&gt;0)</f>
        <v/>
      </c>
    </row>
    <row r="179" spans="5:5" x14ac:dyDescent="0.35">
      <c r="E179" s="9" t="str">
        <f>IF(B179="", "",COUNTIF(RawData!G:G,B179)&gt;0)</f>
        <v/>
      </c>
    </row>
    <row r="180" spans="5:5" x14ac:dyDescent="0.35">
      <c r="E180" s="9" t="str">
        <f>IF(B180="", "",COUNTIF(RawData!G:G,B180)&gt;0)</f>
        <v/>
      </c>
    </row>
    <row r="181" spans="5:5" x14ac:dyDescent="0.35">
      <c r="E181" s="9" t="str">
        <f>IF(B181="", "",COUNTIF(RawData!G:G,B181)&gt;0)</f>
        <v/>
      </c>
    </row>
    <row r="182" spans="5:5" x14ac:dyDescent="0.35">
      <c r="E182" s="9" t="str">
        <f>IF(B182="", "",COUNTIF(RawData!G:G,B182)&gt;0)</f>
        <v/>
      </c>
    </row>
    <row r="183" spans="5:5" x14ac:dyDescent="0.35">
      <c r="E183" s="9" t="str">
        <f>IF(B183="", "",COUNTIF(RawData!G:G,B183)&gt;0)</f>
        <v/>
      </c>
    </row>
    <row r="184" spans="5:5" x14ac:dyDescent="0.35">
      <c r="E184" s="9" t="str">
        <f>IF(B184="", "",COUNTIF(RawData!G:G,B184)&gt;0)</f>
        <v/>
      </c>
    </row>
    <row r="185" spans="5:5" x14ac:dyDescent="0.35">
      <c r="E185" s="9" t="str">
        <f>IF(B185="", "",COUNTIF(RawData!G:G,B185)&gt;0)</f>
        <v/>
      </c>
    </row>
    <row r="186" spans="5:5" x14ac:dyDescent="0.35">
      <c r="E186" s="9" t="str">
        <f>IF(B186="", "",COUNTIF(RawData!G:G,B186)&gt;0)</f>
        <v/>
      </c>
    </row>
    <row r="187" spans="5:5" x14ac:dyDescent="0.35">
      <c r="E187" s="9" t="str">
        <f>IF(B187="", "",COUNTIF(RawData!G:G,B187)&gt;0)</f>
        <v/>
      </c>
    </row>
    <row r="188" spans="5:5" x14ac:dyDescent="0.35">
      <c r="E188" s="9" t="str">
        <f>IF(B188="", "",COUNTIF(RawData!G:G,B188)&gt;0)</f>
        <v/>
      </c>
    </row>
    <row r="189" spans="5:5" x14ac:dyDescent="0.35">
      <c r="E189" s="9" t="str">
        <f>IF(B189="", "",COUNTIF(RawData!G:G,B189)&gt;0)</f>
        <v/>
      </c>
    </row>
    <row r="190" spans="5:5" x14ac:dyDescent="0.35">
      <c r="E190" s="9" t="str">
        <f>IF(B190="", "",COUNTIF(RawData!G:G,B190)&gt;0)</f>
        <v/>
      </c>
    </row>
    <row r="191" spans="5:5" x14ac:dyDescent="0.35">
      <c r="E191" s="9" t="str">
        <f>IF(B191="", "",COUNTIF(RawData!G:G,B191)&gt;0)</f>
        <v/>
      </c>
    </row>
    <row r="192" spans="5:5" x14ac:dyDescent="0.35">
      <c r="E192" s="9" t="str">
        <f>IF(B192="", "",COUNTIF(RawData!G:G,B192)&gt;0)</f>
        <v/>
      </c>
    </row>
    <row r="193" spans="5:5" x14ac:dyDescent="0.35">
      <c r="E193" s="9" t="str">
        <f>IF(B193="", "",COUNTIF(RawData!G:G,B193)&gt;0)</f>
        <v/>
      </c>
    </row>
    <row r="194" spans="5:5" x14ac:dyDescent="0.35">
      <c r="E194" s="9" t="str">
        <f>IF(B194="", "",COUNTIF(RawData!G:G,B194)&gt;0)</f>
        <v/>
      </c>
    </row>
    <row r="195" spans="5:5" x14ac:dyDescent="0.35">
      <c r="E195" s="9" t="str">
        <f>IF(B195="", "",COUNTIF(RawData!G:G,B195)&gt;0)</f>
        <v/>
      </c>
    </row>
    <row r="196" spans="5:5" x14ac:dyDescent="0.35">
      <c r="E196" s="9" t="str">
        <f>IF(B196="", "",COUNTIF(RawData!G:G,B196)&gt;0)</f>
        <v/>
      </c>
    </row>
    <row r="197" spans="5:5" x14ac:dyDescent="0.35">
      <c r="E197" s="9" t="str">
        <f>IF(B197="", "",COUNTIF(RawData!G:G,B197)&gt;0)</f>
        <v/>
      </c>
    </row>
    <row r="198" spans="5:5" x14ac:dyDescent="0.35">
      <c r="E198" s="9" t="str">
        <f>IF(B198="", "",COUNTIF(RawData!G:G,B198)&gt;0)</f>
        <v/>
      </c>
    </row>
    <row r="199" spans="5:5" x14ac:dyDescent="0.35">
      <c r="E199" s="9" t="str">
        <f>IF(B199="", "",COUNTIF(RawData!G:G,B199)&gt;0)</f>
        <v/>
      </c>
    </row>
    <row r="200" spans="5:5" x14ac:dyDescent="0.35">
      <c r="E200" s="9" t="str">
        <f>IF(B200="", "",COUNTIF(RawData!G:G,B200)&gt;0)</f>
        <v/>
      </c>
    </row>
    <row r="201" spans="5:5" x14ac:dyDescent="0.35">
      <c r="E201" s="9" t="str">
        <f>IF(B201="", "",COUNTIF(RawData!G:G,B201)&gt;0)</f>
        <v/>
      </c>
    </row>
    <row r="202" spans="5:5" x14ac:dyDescent="0.35">
      <c r="E202" s="9" t="str">
        <f>IF(B202="", "",COUNTIF(RawData!G:G,B202)&gt;0)</f>
        <v/>
      </c>
    </row>
    <row r="203" spans="5:5" x14ac:dyDescent="0.35">
      <c r="E203" s="9" t="str">
        <f>IF(B203="", "",COUNTIF(RawData!G:G,B203)&gt;0)</f>
        <v/>
      </c>
    </row>
    <row r="204" spans="5:5" x14ac:dyDescent="0.35">
      <c r="E204" s="9" t="str">
        <f>IF(B204="", "",COUNTIF(RawData!G:G,B204)&gt;0)</f>
        <v/>
      </c>
    </row>
    <row r="205" spans="5:5" x14ac:dyDescent="0.35">
      <c r="E205" s="9" t="str">
        <f>IF(B205="", "",COUNTIF(RawData!G:G,B205)&gt;0)</f>
        <v/>
      </c>
    </row>
    <row r="206" spans="5:5" x14ac:dyDescent="0.35">
      <c r="E206" s="9" t="str">
        <f>IF(B206="", "",COUNTIF(RawData!G:G,B206)&gt;0)</f>
        <v/>
      </c>
    </row>
    <row r="207" spans="5:5" x14ac:dyDescent="0.35">
      <c r="E207" s="9" t="str">
        <f>IF(B207="", "",COUNTIF(RawData!G:G,B207)&gt;0)</f>
        <v/>
      </c>
    </row>
    <row r="208" spans="5:5" x14ac:dyDescent="0.35">
      <c r="E208" s="9" t="str">
        <f>IF(B208="", "",COUNTIF(RawData!G:G,B208)&gt;0)</f>
        <v/>
      </c>
    </row>
    <row r="209" spans="5:5" x14ac:dyDescent="0.35">
      <c r="E209" s="9" t="str">
        <f>IF(B209="", "",COUNTIF(RawData!G:G,B209)&gt;0)</f>
        <v/>
      </c>
    </row>
    <row r="210" spans="5:5" x14ac:dyDescent="0.35">
      <c r="E210" s="9" t="str">
        <f>IF(B210="", "",COUNTIF(RawData!G:G,B210)&gt;0)</f>
        <v/>
      </c>
    </row>
    <row r="211" spans="5:5" x14ac:dyDescent="0.35">
      <c r="E211" s="9" t="str">
        <f>IF(B211="", "",COUNTIF(RawData!G:G,B211)&gt;0)</f>
        <v/>
      </c>
    </row>
    <row r="212" spans="5:5" x14ac:dyDescent="0.35">
      <c r="E212" s="9" t="str">
        <f>IF(B212="", "",COUNTIF(RawData!G:G,B212)&gt;0)</f>
        <v/>
      </c>
    </row>
    <row r="213" spans="5:5" x14ac:dyDescent="0.35">
      <c r="E213" s="9" t="str">
        <f>IF(B213="", "",COUNTIF(RawData!G:G,B213)&gt;0)</f>
        <v/>
      </c>
    </row>
    <row r="214" spans="5:5" x14ac:dyDescent="0.35">
      <c r="E214" s="9" t="str">
        <f>IF(B214="", "",COUNTIF(RawData!G:G,B214)&gt;0)</f>
        <v/>
      </c>
    </row>
    <row r="215" spans="5:5" x14ac:dyDescent="0.35">
      <c r="E215" s="9" t="str">
        <f>IF(B215="", "",COUNTIF(RawData!G:G,B215)&gt;0)</f>
        <v/>
      </c>
    </row>
    <row r="216" spans="5:5" x14ac:dyDescent="0.35">
      <c r="E216" s="9" t="str">
        <f>IF(B216="", "",COUNTIF(RawData!G:G,B216)&gt;0)</f>
        <v/>
      </c>
    </row>
    <row r="217" spans="5:5" x14ac:dyDescent="0.35">
      <c r="E217" s="9" t="str">
        <f>IF(B217="", "",COUNTIF(RawData!G:G,B217)&gt;0)</f>
        <v/>
      </c>
    </row>
    <row r="218" spans="5:5" x14ac:dyDescent="0.35">
      <c r="E218" s="9" t="str">
        <f>IF(B218="", "",COUNTIF(RawData!G:G,B218)&gt;0)</f>
        <v/>
      </c>
    </row>
    <row r="219" spans="5:5" x14ac:dyDescent="0.35">
      <c r="E219" s="9" t="str">
        <f>IF(B219="", "",COUNTIF(RawData!G:G,B219)&gt;0)</f>
        <v/>
      </c>
    </row>
    <row r="220" spans="5:5" x14ac:dyDescent="0.35">
      <c r="E220" s="9" t="str">
        <f>IF(B220="", "",COUNTIF(RawData!G:G,B220)&gt;0)</f>
        <v/>
      </c>
    </row>
    <row r="221" spans="5:5" x14ac:dyDescent="0.35">
      <c r="E221" s="9" t="str">
        <f>IF(B221="", "",COUNTIF(RawData!G:G,B221)&gt;0)</f>
        <v/>
      </c>
    </row>
    <row r="222" spans="5:5" x14ac:dyDescent="0.35">
      <c r="E222" s="9" t="str">
        <f>IF(B222="", "",COUNTIF(RawData!G:G,B222)&gt;0)</f>
        <v/>
      </c>
    </row>
    <row r="223" spans="5:5" x14ac:dyDescent="0.35">
      <c r="E223" s="9" t="str">
        <f>IF(B223="", "",COUNTIF(RawData!G:G,B223)&gt;0)</f>
        <v/>
      </c>
    </row>
    <row r="224" spans="5:5" x14ac:dyDescent="0.35">
      <c r="E224" s="9" t="str">
        <f>IF(B224="", "",COUNTIF(RawData!G:G,B224)&gt;0)</f>
        <v/>
      </c>
    </row>
    <row r="225" spans="5:5" x14ac:dyDescent="0.35">
      <c r="E225" s="9" t="str">
        <f>IF(B225="", "",COUNTIF(RawData!G:G,B225)&gt;0)</f>
        <v/>
      </c>
    </row>
    <row r="226" spans="5:5" x14ac:dyDescent="0.35">
      <c r="E226" s="9" t="str">
        <f>IF(B226="", "",COUNTIF(RawData!G:G,B226)&gt;0)</f>
        <v/>
      </c>
    </row>
    <row r="227" spans="5:5" x14ac:dyDescent="0.35">
      <c r="E227" s="9" t="str">
        <f>IF(B227="", "",COUNTIF(RawData!G:G,B227)&gt;0)</f>
        <v/>
      </c>
    </row>
    <row r="228" spans="5:5" x14ac:dyDescent="0.35">
      <c r="E228" s="9" t="str">
        <f>IF(B228="", "",COUNTIF(RawData!G:G,B228)&gt;0)</f>
        <v/>
      </c>
    </row>
    <row r="229" spans="5:5" x14ac:dyDescent="0.35">
      <c r="E229" s="9" t="str">
        <f>IF(B229="", "",COUNTIF(RawData!G:G,B229)&gt;0)</f>
        <v/>
      </c>
    </row>
    <row r="230" spans="5:5" x14ac:dyDescent="0.35">
      <c r="E230" s="9" t="str">
        <f>IF(B230="", "",COUNTIF(RawData!G:G,B230)&gt;0)</f>
        <v/>
      </c>
    </row>
    <row r="231" spans="5:5" x14ac:dyDescent="0.35">
      <c r="E231" s="9" t="str">
        <f>IF(B231="", "",COUNTIF(RawData!G:G,B231)&gt;0)</f>
        <v/>
      </c>
    </row>
    <row r="232" spans="5:5" x14ac:dyDescent="0.35">
      <c r="E232" s="9" t="str">
        <f>IF(B232="", "",COUNTIF(RawData!G:G,B232)&gt;0)</f>
        <v/>
      </c>
    </row>
    <row r="233" spans="5:5" x14ac:dyDescent="0.35">
      <c r="E233" s="9" t="str">
        <f>IF(B233="", "",COUNTIF(RawData!G:G,B233)&gt;0)</f>
        <v/>
      </c>
    </row>
    <row r="234" spans="5:5" x14ac:dyDescent="0.35">
      <c r="E234" s="9" t="str">
        <f>IF(B234="", "",COUNTIF(RawData!G:G,B234)&gt;0)</f>
        <v/>
      </c>
    </row>
    <row r="235" spans="5:5" x14ac:dyDescent="0.35">
      <c r="E235" s="9" t="str">
        <f>IF(B235="", "",COUNTIF(RawData!G:G,B235)&gt;0)</f>
        <v/>
      </c>
    </row>
    <row r="236" spans="5:5" x14ac:dyDescent="0.35">
      <c r="E236" s="9" t="str">
        <f>IF(B236="", "",COUNTIF(RawData!G:G,B236)&gt;0)</f>
        <v/>
      </c>
    </row>
    <row r="237" spans="5:5" x14ac:dyDescent="0.35">
      <c r="E237" s="9" t="str">
        <f>IF(B237="", "",COUNTIF(RawData!G:G,B237)&gt;0)</f>
        <v/>
      </c>
    </row>
    <row r="238" spans="5:5" x14ac:dyDescent="0.35">
      <c r="E238" s="9" t="str">
        <f>IF(B238="", "",COUNTIF(RawData!G:G,B238)&gt;0)</f>
        <v/>
      </c>
    </row>
    <row r="239" spans="5:5" x14ac:dyDescent="0.35">
      <c r="E239" s="9" t="str">
        <f>IF(B239="", "",COUNTIF(RawData!G:G,B239)&gt;0)</f>
        <v/>
      </c>
    </row>
    <row r="240" spans="5:5" x14ac:dyDescent="0.35">
      <c r="E240" s="9" t="str">
        <f>IF(B240="", "",COUNTIF(RawData!G:G,B240)&gt;0)</f>
        <v/>
      </c>
    </row>
    <row r="241" spans="5:5" x14ac:dyDescent="0.35">
      <c r="E241" s="9" t="str">
        <f>IF(B241="", "",COUNTIF(RawData!G:G,B241)&gt;0)</f>
        <v/>
      </c>
    </row>
    <row r="242" spans="5:5" x14ac:dyDescent="0.35">
      <c r="E242" s="9" t="str">
        <f>IF(B242="", "",COUNTIF(RawData!G:G,B242)&gt;0)</f>
        <v/>
      </c>
    </row>
    <row r="243" spans="5:5" x14ac:dyDescent="0.35">
      <c r="E243" s="9" t="str">
        <f>IF(B243="", "",COUNTIF(RawData!G:G,B243)&gt;0)</f>
        <v/>
      </c>
    </row>
    <row r="244" spans="5:5" x14ac:dyDescent="0.35">
      <c r="E244" s="9" t="str">
        <f>IF(B244="", "",COUNTIF(RawData!G:G,B244)&gt;0)</f>
        <v/>
      </c>
    </row>
    <row r="245" spans="5:5" x14ac:dyDescent="0.35">
      <c r="E245" s="9" t="str">
        <f>IF(B245="", "",COUNTIF(RawData!G:G,B245)&gt;0)</f>
        <v/>
      </c>
    </row>
    <row r="246" spans="5:5" x14ac:dyDescent="0.35">
      <c r="E246" s="9" t="str">
        <f>IF(B246="", "",COUNTIF(RawData!G:G,B246)&gt;0)</f>
        <v/>
      </c>
    </row>
    <row r="247" spans="5:5" x14ac:dyDescent="0.35">
      <c r="E247" s="9" t="str">
        <f>IF(B247="", "",COUNTIF(RawData!G:G,B247)&gt;0)</f>
        <v/>
      </c>
    </row>
    <row r="248" spans="5:5" x14ac:dyDescent="0.35">
      <c r="E248" s="9" t="str">
        <f>IF(B248="", "",COUNTIF(RawData!G:G,B248)&gt;0)</f>
        <v/>
      </c>
    </row>
    <row r="249" spans="5:5" x14ac:dyDescent="0.35">
      <c r="E249" s="9" t="str">
        <f>IF(B249="", "",COUNTIF(RawData!G:G,B249)&gt;0)</f>
        <v/>
      </c>
    </row>
    <row r="250" spans="5:5" x14ac:dyDescent="0.35">
      <c r="E250" s="9" t="str">
        <f>IF(B250="", "",COUNTIF(RawData!G:G,B250)&gt;0)</f>
        <v/>
      </c>
    </row>
    <row r="251" spans="5:5" x14ac:dyDescent="0.35">
      <c r="E251" s="9" t="str">
        <f>IF(B251="", "",COUNTIF(RawData!G:G,B251)&gt;0)</f>
        <v/>
      </c>
    </row>
    <row r="252" spans="5:5" x14ac:dyDescent="0.35">
      <c r="E252" s="9" t="str">
        <f>IF(B252="", "",COUNTIF(RawData!G:G,B252)&gt;0)</f>
        <v/>
      </c>
    </row>
    <row r="253" spans="5:5" x14ac:dyDescent="0.35">
      <c r="E253" s="9" t="str">
        <f>IF(B253="", "",COUNTIF(RawData!G:G,B253)&gt;0)</f>
        <v/>
      </c>
    </row>
    <row r="254" spans="5:5" x14ac:dyDescent="0.35">
      <c r="E254" s="9" t="str">
        <f>IF(B254="", "",COUNTIF(RawData!G:G,B254)&gt;0)</f>
        <v/>
      </c>
    </row>
    <row r="255" spans="5:5" x14ac:dyDescent="0.35">
      <c r="E255" s="9" t="str">
        <f>IF(B255="", "",COUNTIF(RawData!G:G,B255)&gt;0)</f>
        <v/>
      </c>
    </row>
    <row r="256" spans="5:5" x14ac:dyDescent="0.35">
      <c r="E256" s="9" t="str">
        <f>IF(B256="", "",COUNTIF(RawData!G:G,B256)&gt;0)</f>
        <v/>
      </c>
    </row>
    <row r="257" spans="5:5" x14ac:dyDescent="0.35">
      <c r="E257" s="9" t="str">
        <f>IF(B257="", "",COUNTIF(RawData!G:G,B257)&gt;0)</f>
        <v/>
      </c>
    </row>
    <row r="258" spans="5:5" x14ac:dyDescent="0.35">
      <c r="E258" s="9" t="str">
        <f>IF(B258="", "",COUNTIF(RawData!G:G,B258)&gt;0)</f>
        <v/>
      </c>
    </row>
    <row r="259" spans="5:5" x14ac:dyDescent="0.35">
      <c r="E259" s="9" t="str">
        <f>IF(B259="", "",COUNTIF(RawData!G:G,B259)&gt;0)</f>
        <v/>
      </c>
    </row>
    <row r="260" spans="5:5" x14ac:dyDescent="0.35">
      <c r="E260" s="9" t="str">
        <f>IF(B260="", "",COUNTIF(RawData!G:G,B260)&gt;0)</f>
        <v/>
      </c>
    </row>
    <row r="261" spans="5:5" x14ac:dyDescent="0.35">
      <c r="E261" s="9" t="str">
        <f>IF(B261="", "",COUNTIF(RawData!G:G,B261)&gt;0)</f>
        <v/>
      </c>
    </row>
    <row r="262" spans="5:5" x14ac:dyDescent="0.35">
      <c r="E262" s="9" t="str">
        <f>IF(B262="", "",COUNTIF(RawData!G:G,B262)&gt;0)</f>
        <v/>
      </c>
    </row>
    <row r="263" spans="5:5" x14ac:dyDescent="0.35">
      <c r="E263" s="9" t="str">
        <f>IF(B263="", "",COUNTIF(RawData!G:G,B263)&gt;0)</f>
        <v/>
      </c>
    </row>
    <row r="264" spans="5:5" x14ac:dyDescent="0.35">
      <c r="E264" s="9" t="str">
        <f>IF(B264="", "",COUNTIF(RawData!G:G,B264)&gt;0)</f>
        <v/>
      </c>
    </row>
    <row r="265" spans="5:5" x14ac:dyDescent="0.35">
      <c r="E265" s="9" t="str">
        <f>IF(B265="", "",COUNTIF(RawData!G:G,B265)&gt;0)</f>
        <v/>
      </c>
    </row>
    <row r="266" spans="5:5" x14ac:dyDescent="0.35">
      <c r="E266" s="9" t="str">
        <f>IF(B266="", "",COUNTIF(RawData!G:G,B266)&gt;0)</f>
        <v/>
      </c>
    </row>
    <row r="267" spans="5:5" x14ac:dyDescent="0.35">
      <c r="E267" s="9" t="str">
        <f>IF(B267="", "",COUNTIF(RawData!G:G,B267)&gt;0)</f>
        <v/>
      </c>
    </row>
    <row r="268" spans="5:5" x14ac:dyDescent="0.35">
      <c r="E268" s="9" t="str">
        <f>IF(B268="", "",COUNTIF(RawData!G:G,B268)&gt;0)</f>
        <v/>
      </c>
    </row>
    <row r="269" spans="5:5" x14ac:dyDescent="0.35">
      <c r="E269" s="9" t="str">
        <f>IF(B269="", "",COUNTIF(RawData!G:G,B269)&gt;0)</f>
        <v/>
      </c>
    </row>
    <row r="270" spans="5:5" x14ac:dyDescent="0.35">
      <c r="E270" s="9" t="str">
        <f>IF(B270="", "",COUNTIF(RawData!G:G,B270)&gt;0)</f>
        <v/>
      </c>
    </row>
    <row r="271" spans="5:5" x14ac:dyDescent="0.35">
      <c r="E271" s="9" t="str">
        <f>IF(B271="", "",COUNTIF(RawData!G:G,B271)&gt;0)</f>
        <v/>
      </c>
    </row>
    <row r="272" spans="5:5" x14ac:dyDescent="0.35">
      <c r="E272" s="9" t="str">
        <f>IF(B272="", "",COUNTIF(RawData!G:G,B272)&gt;0)</f>
        <v/>
      </c>
    </row>
    <row r="273" spans="5:5" x14ac:dyDescent="0.35">
      <c r="E273" s="9" t="str">
        <f>IF(B273="", "",COUNTIF(RawData!G:G,B273)&gt;0)</f>
        <v/>
      </c>
    </row>
    <row r="274" spans="5:5" x14ac:dyDescent="0.35">
      <c r="E274" s="9" t="str">
        <f>IF(B274="", "",COUNTIF(RawData!G:G,B274)&gt;0)</f>
        <v/>
      </c>
    </row>
    <row r="275" spans="5:5" x14ac:dyDescent="0.35">
      <c r="E275" s="9" t="str">
        <f>IF(B275="", "",COUNTIF(RawData!G:G,B275)&gt;0)</f>
        <v/>
      </c>
    </row>
    <row r="276" spans="5:5" x14ac:dyDescent="0.35">
      <c r="E276" s="9" t="str">
        <f>IF(B276="", "",COUNTIF(RawData!G:G,B276)&gt;0)</f>
        <v/>
      </c>
    </row>
    <row r="277" spans="5:5" x14ac:dyDescent="0.35">
      <c r="E277" s="9" t="str">
        <f>IF(B277="", "",COUNTIF(RawData!G:G,B277)&gt;0)</f>
        <v/>
      </c>
    </row>
    <row r="278" spans="5:5" x14ac:dyDescent="0.35">
      <c r="E278" s="9" t="str">
        <f>IF(B278="", "",COUNTIF(RawData!G:G,B278)&gt;0)</f>
        <v/>
      </c>
    </row>
    <row r="279" spans="5:5" x14ac:dyDescent="0.35">
      <c r="E279" s="9" t="str">
        <f>IF(B279="", "",COUNTIF(RawData!G:G,B279)&gt;0)</f>
        <v/>
      </c>
    </row>
    <row r="280" spans="5:5" x14ac:dyDescent="0.35">
      <c r="E280" s="9" t="str">
        <f>IF(B280="", "",COUNTIF(RawData!G:G,B280)&gt;0)</f>
        <v/>
      </c>
    </row>
    <row r="281" spans="5:5" x14ac:dyDescent="0.35">
      <c r="E281" s="9" t="str">
        <f>IF(B281="", "",COUNTIF(RawData!G:G,B281)&gt;0)</f>
        <v/>
      </c>
    </row>
    <row r="282" spans="5:5" x14ac:dyDescent="0.35">
      <c r="E282" s="9" t="str">
        <f>IF(B282="", "",COUNTIF(RawData!G:G,B282)&gt;0)</f>
        <v/>
      </c>
    </row>
    <row r="283" spans="5:5" x14ac:dyDescent="0.35">
      <c r="E283" s="9" t="str">
        <f>IF(B283="", "",COUNTIF(RawData!G:G,B283)&gt;0)</f>
        <v/>
      </c>
    </row>
    <row r="284" spans="5:5" x14ac:dyDescent="0.35">
      <c r="E284" s="9" t="str">
        <f>IF(B284="", "",COUNTIF(RawData!G:G,B284)&gt;0)</f>
        <v/>
      </c>
    </row>
    <row r="285" spans="5:5" x14ac:dyDescent="0.35">
      <c r="E285" s="9" t="str">
        <f>IF(B285="", "",COUNTIF(RawData!G:G,B285)&gt;0)</f>
        <v/>
      </c>
    </row>
    <row r="286" spans="5:5" x14ac:dyDescent="0.35">
      <c r="E286" s="9" t="str">
        <f>IF(B286="", "",COUNTIF(RawData!G:G,B286)&gt;0)</f>
        <v/>
      </c>
    </row>
    <row r="287" spans="5:5" x14ac:dyDescent="0.35">
      <c r="E287" s="9" t="str">
        <f>IF(B287="", "",COUNTIF(RawData!G:G,B287)&gt;0)</f>
        <v/>
      </c>
    </row>
    <row r="288" spans="5:5" x14ac:dyDescent="0.35">
      <c r="E288" s="9" t="str">
        <f>IF(B288="", "",COUNTIF(RawData!G:G,B288)&gt;0)</f>
        <v/>
      </c>
    </row>
    <row r="289" spans="5:5" x14ac:dyDescent="0.35">
      <c r="E289" s="9" t="str">
        <f>IF(B289="", "",COUNTIF(RawData!G:G,B289)&gt;0)</f>
        <v/>
      </c>
    </row>
    <row r="290" spans="5:5" x14ac:dyDescent="0.35">
      <c r="E290" s="9" t="str">
        <f>IF(B290="", "",COUNTIF(RawData!G:G,B290)&gt;0)</f>
        <v/>
      </c>
    </row>
    <row r="291" spans="5:5" x14ac:dyDescent="0.35">
      <c r="E291" s="9" t="str">
        <f>IF(B291="", "",COUNTIF(RawData!G:G,B291)&gt;0)</f>
        <v/>
      </c>
    </row>
    <row r="292" spans="5:5" x14ac:dyDescent="0.35">
      <c r="E292" s="9" t="str">
        <f>IF(B292="", "",COUNTIF(RawData!G:G,B292)&gt;0)</f>
        <v/>
      </c>
    </row>
    <row r="293" spans="5:5" x14ac:dyDescent="0.35">
      <c r="E293" s="9" t="str">
        <f>IF(B293="", "",COUNTIF(RawData!G:G,B293)&gt;0)</f>
        <v/>
      </c>
    </row>
    <row r="294" spans="5:5" x14ac:dyDescent="0.35">
      <c r="E294" s="9" t="str">
        <f>IF(B294="", "",COUNTIF(RawData!G:G,B294)&gt;0)</f>
        <v/>
      </c>
    </row>
    <row r="295" spans="5:5" x14ac:dyDescent="0.35">
      <c r="E295" s="9" t="str">
        <f>IF(B295="", "",COUNTIF(RawData!G:G,B295)&gt;0)</f>
        <v/>
      </c>
    </row>
    <row r="296" spans="5:5" x14ac:dyDescent="0.35">
      <c r="E296" s="9" t="str">
        <f>IF(B296="", "",COUNTIF(RawData!G:G,B296)&gt;0)</f>
        <v/>
      </c>
    </row>
    <row r="297" spans="5:5" x14ac:dyDescent="0.35">
      <c r="E297" s="9" t="str">
        <f>IF(B297="", "",COUNTIF(RawData!G:G,B297)&gt;0)</f>
        <v/>
      </c>
    </row>
    <row r="298" spans="5:5" x14ac:dyDescent="0.35">
      <c r="E298" s="9" t="str">
        <f>IF(B298="", "",COUNTIF(RawData!G:G,B298)&gt;0)</f>
        <v/>
      </c>
    </row>
    <row r="299" spans="5:5" x14ac:dyDescent="0.35">
      <c r="E299" s="9" t="str">
        <f>IF(B299="", "",COUNTIF(RawData!G:G,B299)&gt;0)</f>
        <v/>
      </c>
    </row>
    <row r="300" spans="5:5" x14ac:dyDescent="0.35">
      <c r="E300" s="9" t="str">
        <f>IF(B300="", "",COUNTIF(RawData!G:G,B300)&gt;0)</f>
        <v/>
      </c>
    </row>
    <row r="301" spans="5:5" x14ac:dyDescent="0.35">
      <c r="E301" s="9" t="str">
        <f>IF(B301="", "",COUNTIF(RawData!G:G,B301)&gt;0)</f>
        <v/>
      </c>
    </row>
    <row r="302" spans="5:5" x14ac:dyDescent="0.35">
      <c r="E302" s="9" t="str">
        <f>IF(B302="", "",COUNTIF(RawData!G:G,B302)&gt;0)</f>
        <v/>
      </c>
    </row>
    <row r="303" spans="5:5" x14ac:dyDescent="0.35">
      <c r="E303" s="9" t="str">
        <f>IF(B303="", "",COUNTIF(RawData!G:G,B303)&gt;0)</f>
        <v/>
      </c>
    </row>
  </sheetData>
  <conditionalFormatting sqref="F1 E2:E303">
    <cfRule type="cellIs" dxfId="18" priority="1" operator="equal">
      <formula>TRUE</formula>
    </cfRule>
    <cfRule type="cellIs" dxfId="17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584200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4.5" x14ac:dyDescent="0.35"/>
  <cols>
    <col min="1" max="1" width="24.26953125" bestFit="1" customWidth="1"/>
    <col min="2" max="2" width="19.54296875" customWidth="1"/>
    <col min="3" max="3" width="20.453125" customWidth="1"/>
    <col min="4" max="4" width="8.7265625" bestFit="1" customWidth="1"/>
    <col min="5" max="6" width="15.81640625" customWidth="1"/>
    <col min="7" max="7" width="35" customWidth="1"/>
    <col min="8" max="8" width="13.81640625" style="9" customWidth="1"/>
    <col min="9" max="9" width="9.81640625" bestFit="1" customWidth="1"/>
    <col min="11" max="11" width="14.54296875" customWidth="1"/>
  </cols>
  <sheetData>
    <row r="1" spans="1:11" ht="43.5" x14ac:dyDescent="0.3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35">
      <c r="A2" t="s">
        <v>515</v>
      </c>
      <c r="H2"/>
      <c r="K2" t="s">
        <v>279</v>
      </c>
    </row>
    <row r="3" spans="1:11" x14ac:dyDescent="0.35">
      <c r="A3" t="s">
        <v>516</v>
      </c>
      <c r="D3" t="s">
        <v>279</v>
      </c>
      <c r="H3"/>
      <c r="J3" t="s">
        <v>279</v>
      </c>
    </row>
    <row r="4" spans="1:11" x14ac:dyDescent="0.35">
      <c r="A4" t="s">
        <v>4</v>
      </c>
      <c r="B4" t="s">
        <v>10</v>
      </c>
      <c r="D4" t="s">
        <v>279</v>
      </c>
      <c r="E4" t="s">
        <v>279</v>
      </c>
      <c r="F4" t="s">
        <v>517</v>
      </c>
      <c r="H4"/>
    </row>
    <row r="5" spans="1:11" x14ac:dyDescent="0.3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35">
      <c r="A6" t="s">
        <v>518</v>
      </c>
      <c r="B6"/>
      <c r="C6"/>
      <c r="D6" t="s">
        <v>279</v>
      </c>
      <c r="E6"/>
      <c r="F6"/>
      <c r="G6"/>
      <c r="H6"/>
      <c r="I6" t="s">
        <v>519</v>
      </c>
      <c r="J6"/>
      <c r="K6"/>
    </row>
    <row r="7" spans="1:11" x14ac:dyDescent="0.35">
      <c r="A7" t="s">
        <v>138</v>
      </c>
      <c r="D7" t="s">
        <v>279</v>
      </c>
      <c r="G7" t="s">
        <v>519</v>
      </c>
      <c r="H7" t="s">
        <v>279</v>
      </c>
    </row>
    <row r="8" spans="1:11" x14ac:dyDescent="0.35">
      <c r="A8" t="s">
        <v>139</v>
      </c>
      <c r="D8" t="s">
        <v>519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35">
      <c r="A9" t="s">
        <v>129</v>
      </c>
      <c r="D9" t="s">
        <v>279</v>
      </c>
      <c r="E9" t="s">
        <v>279</v>
      </c>
      <c r="F9" t="s">
        <v>173</v>
      </c>
      <c r="H9"/>
      <c r="I9" t="s">
        <v>519</v>
      </c>
    </row>
    <row r="10" spans="1:11" x14ac:dyDescent="0.3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35">
      <c r="A11" t="s">
        <v>137</v>
      </c>
      <c r="D11" t="s">
        <v>279</v>
      </c>
      <c r="H11"/>
    </row>
    <row r="12" spans="1:11" x14ac:dyDescent="0.35">
      <c r="A12" t="s">
        <v>7</v>
      </c>
      <c r="D12" t="s">
        <v>520</v>
      </c>
      <c r="E12" t="s">
        <v>279</v>
      </c>
      <c r="F12" t="s">
        <v>172</v>
      </c>
      <c r="H12"/>
      <c r="I12" t="s">
        <v>519</v>
      </c>
    </row>
    <row r="13" spans="1:11" x14ac:dyDescent="0.3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35">
      <c r="A14" t="s">
        <v>237</v>
      </c>
      <c r="E14" t="s">
        <v>279</v>
      </c>
      <c r="F14" t="s">
        <v>294</v>
      </c>
      <c r="H14"/>
    </row>
    <row r="15" spans="1:11" x14ac:dyDescent="0.35">
      <c r="A15" t="s">
        <v>140</v>
      </c>
      <c r="H15"/>
    </row>
    <row r="16" spans="1:11" s="9" customFormat="1" x14ac:dyDescent="0.35">
      <c r="A16" t="s">
        <v>521</v>
      </c>
      <c r="B16"/>
      <c r="C16"/>
      <c r="D16"/>
      <c r="E16"/>
      <c r="F16"/>
      <c r="G16"/>
      <c r="H16"/>
      <c r="I16" t="s">
        <v>519</v>
      </c>
      <c r="J16"/>
      <c r="K16"/>
    </row>
    <row r="17" spans="1:11" s="9" customFormat="1" x14ac:dyDescent="0.35">
      <c r="A17" t="s">
        <v>522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35">
      <c r="A18" t="s">
        <v>523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35">
      <c r="A19" t="s">
        <v>121</v>
      </c>
      <c r="B19"/>
      <c r="C19"/>
      <c r="D19" t="s">
        <v>524</v>
      </c>
      <c r="E19"/>
      <c r="F19"/>
      <c r="G19"/>
      <c r="H19"/>
      <c r="I19"/>
      <c r="J19"/>
      <c r="K19"/>
    </row>
    <row r="20" spans="1:11" s="9" customFormat="1" x14ac:dyDescent="0.3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35">
      <c r="A21" t="s">
        <v>8</v>
      </c>
      <c r="B21"/>
      <c r="C21"/>
      <c r="D21" t="s">
        <v>279</v>
      </c>
      <c r="E21" t="s">
        <v>279</v>
      </c>
      <c r="F21" t="s">
        <v>525</v>
      </c>
      <c r="G21"/>
      <c r="H21"/>
      <c r="I21"/>
      <c r="J21"/>
      <c r="K21"/>
    </row>
    <row r="22" spans="1:11" x14ac:dyDescent="0.35">
      <c r="A22" t="s">
        <v>526</v>
      </c>
      <c r="H22"/>
    </row>
    <row r="23" spans="1:11" x14ac:dyDescent="0.35">
      <c r="A23" t="s">
        <v>9</v>
      </c>
      <c r="E23" t="s">
        <v>279</v>
      </c>
      <c r="F23" t="s">
        <v>527</v>
      </c>
      <c r="H23"/>
    </row>
    <row r="24" spans="1:11" x14ac:dyDescent="0.3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35">
      <c r="A25" t="s">
        <v>528</v>
      </c>
      <c r="D25" t="s">
        <v>279</v>
      </c>
      <c r="H25"/>
    </row>
    <row r="26" spans="1:11" x14ac:dyDescent="0.35">
      <c r="A26" t="s">
        <v>529</v>
      </c>
      <c r="D26" t="s">
        <v>279</v>
      </c>
      <c r="H26"/>
    </row>
    <row r="27" spans="1:11" x14ac:dyDescent="0.35">
      <c r="A27" t="s">
        <v>142</v>
      </c>
      <c r="D27" t="s">
        <v>279</v>
      </c>
      <c r="H27"/>
    </row>
    <row r="28" spans="1:11" x14ac:dyDescent="0.35">
      <c r="A28" t="s">
        <v>143</v>
      </c>
      <c r="D28" t="s">
        <v>279</v>
      </c>
      <c r="H28"/>
      <c r="I28" t="s">
        <v>519</v>
      </c>
    </row>
    <row r="29" spans="1:11" x14ac:dyDescent="0.35">
      <c r="A29" t="s">
        <v>144</v>
      </c>
      <c r="D29" t="s">
        <v>279</v>
      </c>
      <c r="H29"/>
      <c r="I29" t="s">
        <v>519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1"/>
  <sheetViews>
    <sheetView workbookViewId="0">
      <selection activeCell="A14" sqref="A14:XFD14"/>
    </sheetView>
  </sheetViews>
  <sheetFormatPr defaultRowHeight="14.5" x14ac:dyDescent="0.35"/>
  <cols>
    <col min="1" max="1" width="42.1796875" bestFit="1" customWidth="1"/>
    <col min="2" max="2" width="93.1796875" bestFit="1" customWidth="1"/>
  </cols>
  <sheetData>
    <row r="1" spans="1:2" x14ac:dyDescent="0.35">
      <c r="A1" t="s">
        <v>306</v>
      </c>
      <c r="B1" t="s">
        <v>307</v>
      </c>
    </row>
    <row r="2" spans="1:2" x14ac:dyDescent="0.35">
      <c r="A2" t="s">
        <v>310</v>
      </c>
      <c r="B2" s="9" t="s">
        <v>308</v>
      </c>
    </row>
    <row r="3" spans="1:2" x14ac:dyDescent="0.35">
      <c r="A3" t="s">
        <v>308</v>
      </c>
      <c r="B3" t="s">
        <v>535</v>
      </c>
    </row>
    <row r="4" spans="1:2" x14ac:dyDescent="0.35">
      <c r="A4" s="9" t="s">
        <v>309</v>
      </c>
      <c r="B4" s="9" t="s">
        <v>536</v>
      </c>
    </row>
    <row r="5" spans="1:2" x14ac:dyDescent="0.35">
      <c r="A5" t="s">
        <v>596</v>
      </c>
      <c r="B5" t="s">
        <v>313</v>
      </c>
    </row>
    <row r="6" spans="1:2" x14ac:dyDescent="0.35">
      <c r="A6" t="s">
        <v>597</v>
      </c>
      <c r="B6" s="9" t="s">
        <v>315</v>
      </c>
    </row>
    <row r="7" spans="1:2" x14ac:dyDescent="0.35">
      <c r="A7" s="9" t="s">
        <v>598</v>
      </c>
      <c r="B7" s="28" t="s">
        <v>530</v>
      </c>
    </row>
    <row r="8" spans="1:2" x14ac:dyDescent="0.35">
      <c r="A8" t="s">
        <v>599</v>
      </c>
      <c r="B8" s="9" t="s">
        <v>314</v>
      </c>
    </row>
    <row r="9" spans="1:2" x14ac:dyDescent="0.35">
      <c r="A9" t="s">
        <v>600</v>
      </c>
      <c r="B9" t="b">
        <v>1</v>
      </c>
    </row>
    <row r="10" spans="1:2" x14ac:dyDescent="0.35">
      <c r="A10" t="s">
        <v>601</v>
      </c>
      <c r="B10" t="s">
        <v>564</v>
      </c>
    </row>
    <row r="11" spans="1:2" x14ac:dyDescent="0.35">
      <c r="A11" s="9" t="s">
        <v>602</v>
      </c>
      <c r="B11" t="s">
        <v>563</v>
      </c>
    </row>
    <row r="12" spans="1:2" s="9" customFormat="1" x14ac:dyDescent="0.35">
      <c r="A12" s="9" t="s">
        <v>603</v>
      </c>
      <c r="B12" s="9" t="s">
        <v>582</v>
      </c>
    </row>
    <row r="13" spans="1:2" s="9" customFormat="1" x14ac:dyDescent="0.35">
      <c r="A13" s="9" t="s">
        <v>604</v>
      </c>
      <c r="B13" s="9" t="s">
        <v>583</v>
      </c>
    </row>
    <row r="14" spans="1:2" x14ac:dyDescent="0.35">
      <c r="A14" t="s">
        <v>605</v>
      </c>
      <c r="B14" t="s">
        <v>565</v>
      </c>
    </row>
    <row r="15" spans="1:2" x14ac:dyDescent="0.35">
      <c r="A15" s="9" t="s">
        <v>606</v>
      </c>
      <c r="B15" s="9" t="s">
        <v>566</v>
      </c>
    </row>
    <row r="16" spans="1:2" x14ac:dyDescent="0.35">
      <c r="A16" s="9" t="s">
        <v>607</v>
      </c>
      <c r="B16" s="9" t="s">
        <v>539</v>
      </c>
    </row>
    <row r="17" spans="1:2" x14ac:dyDescent="0.35">
      <c r="A17" s="9" t="s">
        <v>608</v>
      </c>
      <c r="B17" s="9" t="s">
        <v>567</v>
      </c>
    </row>
    <row r="18" spans="1:2" x14ac:dyDescent="0.35">
      <c r="A18" s="9" t="s">
        <v>609</v>
      </c>
      <c r="B18" s="9" t="s">
        <v>585</v>
      </c>
    </row>
    <row r="19" spans="1:2" x14ac:dyDescent="0.35">
      <c r="A19" s="9" t="s">
        <v>610</v>
      </c>
      <c r="B19" s="9" t="s">
        <v>587</v>
      </c>
    </row>
    <row r="20" spans="1:2" x14ac:dyDescent="0.35">
      <c r="A20" t="s">
        <v>588</v>
      </c>
      <c r="B20" t="s">
        <v>589</v>
      </c>
    </row>
    <row r="21" spans="1:2" x14ac:dyDescent="0.35">
      <c r="A21" t="s">
        <v>581</v>
      </c>
      <c r="B21" t="s">
        <v>311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E9BC-ABAB-4F5E-A951-879B9E30F927}">
  <sheetPr codeName="Sheet17"/>
  <dimension ref="A1:J5"/>
  <sheetViews>
    <sheetView workbookViewId="0">
      <selection activeCell="C3" sqref="C3"/>
    </sheetView>
  </sheetViews>
  <sheetFormatPr defaultRowHeight="14.5" x14ac:dyDescent="0.35"/>
  <cols>
    <col min="1" max="1" width="13.08984375" bestFit="1" customWidth="1"/>
    <col min="2" max="2" width="24.6328125" bestFit="1" customWidth="1"/>
    <col min="3" max="3" width="22.08984375" bestFit="1" customWidth="1"/>
    <col min="4" max="4" width="18.90625" bestFit="1" customWidth="1"/>
    <col min="5" max="5" width="11.7265625" bestFit="1" customWidth="1"/>
    <col min="6" max="6" width="12.81640625" bestFit="1" customWidth="1"/>
    <col min="7" max="7" width="19" bestFit="1" customWidth="1"/>
    <col min="8" max="8" width="20.1796875" bestFit="1" customWidth="1"/>
    <col min="9" max="9" width="25.26953125" bestFit="1" customWidth="1"/>
    <col min="10" max="10" width="26.36328125" bestFit="1" customWidth="1"/>
  </cols>
  <sheetData>
    <row r="1" spans="1:10" x14ac:dyDescent="0.35">
      <c r="A1" s="31" t="s">
        <v>590</v>
      </c>
      <c r="B1" s="31" t="s">
        <v>591</v>
      </c>
      <c r="C1" s="31" t="s">
        <v>584</v>
      </c>
      <c r="D1" s="31" t="s">
        <v>585</v>
      </c>
      <c r="E1" s="31"/>
      <c r="F1" s="31"/>
      <c r="G1" s="31"/>
      <c r="H1" s="31"/>
      <c r="I1" s="31"/>
      <c r="J1" s="31"/>
    </row>
    <row r="2" spans="1:10" x14ac:dyDescent="0.35">
      <c r="A2">
        <v>101</v>
      </c>
      <c r="B2" t="s">
        <v>592</v>
      </c>
      <c r="C2">
        <v>52</v>
      </c>
      <c r="D2">
        <v>3</v>
      </c>
    </row>
    <row r="3" spans="1:10" x14ac:dyDescent="0.35">
      <c r="A3">
        <v>102</v>
      </c>
      <c r="B3" t="s">
        <v>593</v>
      </c>
      <c r="C3">
        <v>52</v>
      </c>
      <c r="D3">
        <v>15</v>
      </c>
    </row>
    <row r="4" spans="1:10" x14ac:dyDescent="0.35">
      <c r="A4">
        <v>103</v>
      </c>
      <c r="B4" t="s">
        <v>594</v>
      </c>
      <c r="C4">
        <v>52</v>
      </c>
      <c r="D4">
        <v>35</v>
      </c>
    </row>
    <row r="5" spans="1:10" x14ac:dyDescent="0.35">
      <c r="A5">
        <v>104</v>
      </c>
      <c r="B5" t="s">
        <v>595</v>
      </c>
      <c r="C5">
        <v>52</v>
      </c>
      <c r="D5">
        <v>3</v>
      </c>
    </row>
  </sheetData>
  <autoFilter ref="A1:J1" xr:uid="{FA5D6D68-5E46-4F8D-A17B-CE77F2B3EE32}"/>
  <conditionalFormatting sqref="D2:D5">
    <cfRule type="cellIs" dxfId="7" priority="1" operator="equal">
      <formula>0</formula>
    </cfRule>
    <cfRule type="cellIs" dxfId="6" priority="2" operator="between">
      <formula>1</formula>
      <formula>2</formula>
    </cfRule>
    <cfRule type="cellIs" dxfId="5" priority="3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503E-A4DC-4488-A97A-995537E3EAB7}">
  <sheetPr codeName="Sheet11"/>
  <dimension ref="A1:F24"/>
  <sheetViews>
    <sheetView workbookViewId="0">
      <selection activeCell="D12" sqref="D12"/>
    </sheetView>
  </sheetViews>
  <sheetFormatPr defaultRowHeight="14.5" x14ac:dyDescent="0.35"/>
  <cols>
    <col min="1" max="1" width="9.26953125" bestFit="1" customWidth="1"/>
    <col min="2" max="2" width="68.7265625" bestFit="1" customWidth="1"/>
    <col min="3" max="3" width="12.26953125" bestFit="1" customWidth="1"/>
    <col min="4" max="4" width="22.08984375" bestFit="1" customWidth="1"/>
    <col min="5" max="5" width="27.81640625" bestFit="1" customWidth="1"/>
    <col min="6" max="6" width="18.90625" bestFit="1" customWidth="1"/>
  </cols>
  <sheetData>
    <row r="1" spans="1:6" x14ac:dyDescent="0.35">
      <c r="A1" s="31" t="s">
        <v>537</v>
      </c>
      <c r="B1" s="31" t="s">
        <v>538</v>
      </c>
      <c r="C1" s="31" t="s">
        <v>568</v>
      </c>
      <c r="D1" s="31" t="s">
        <v>584</v>
      </c>
      <c r="E1" s="31" t="s">
        <v>586</v>
      </c>
      <c r="F1" s="31" t="s">
        <v>585</v>
      </c>
    </row>
    <row r="2" spans="1:6" x14ac:dyDescent="0.35">
      <c r="A2">
        <v>2001</v>
      </c>
      <c r="B2" t="s">
        <v>540</v>
      </c>
      <c r="C2">
        <v>178</v>
      </c>
      <c r="D2">
        <v>32</v>
      </c>
      <c r="E2">
        <v>32</v>
      </c>
      <c r="F2">
        <v>5</v>
      </c>
    </row>
    <row r="3" spans="1:6" x14ac:dyDescent="0.35">
      <c r="A3">
        <v>2002</v>
      </c>
      <c r="B3" t="s">
        <v>541</v>
      </c>
      <c r="C3">
        <v>48</v>
      </c>
      <c r="D3">
        <v>32</v>
      </c>
      <c r="E3">
        <v>1</v>
      </c>
      <c r="F3">
        <v>48</v>
      </c>
    </row>
    <row r="4" spans="1:6" x14ac:dyDescent="0.35">
      <c r="A4">
        <v>2003</v>
      </c>
      <c r="B4" t="s">
        <v>542</v>
      </c>
      <c r="C4">
        <v>96</v>
      </c>
      <c r="D4">
        <v>32</v>
      </c>
      <c r="E4">
        <v>1</v>
      </c>
      <c r="F4">
        <v>96</v>
      </c>
    </row>
    <row r="5" spans="1:6" x14ac:dyDescent="0.35">
      <c r="A5">
        <v>2004</v>
      </c>
      <c r="B5" t="s">
        <v>543</v>
      </c>
      <c r="C5">
        <v>24</v>
      </c>
      <c r="D5">
        <v>32</v>
      </c>
      <c r="E5">
        <v>1</v>
      </c>
      <c r="F5">
        <v>24</v>
      </c>
    </row>
    <row r="6" spans="1:6" x14ac:dyDescent="0.35">
      <c r="A6">
        <v>2005</v>
      </c>
      <c r="B6" t="s">
        <v>544</v>
      </c>
      <c r="C6">
        <v>200</v>
      </c>
      <c r="D6">
        <v>32</v>
      </c>
      <c r="E6">
        <v>1</v>
      </c>
      <c r="F6">
        <v>200</v>
      </c>
    </row>
    <row r="7" spans="1:6" x14ac:dyDescent="0.35">
      <c r="A7">
        <v>2006</v>
      </c>
      <c r="B7" t="s">
        <v>545</v>
      </c>
      <c r="C7">
        <v>100</v>
      </c>
      <c r="D7">
        <v>32</v>
      </c>
      <c r="E7">
        <v>1</v>
      </c>
      <c r="F7">
        <v>100</v>
      </c>
    </row>
    <row r="8" spans="1:6" x14ac:dyDescent="0.35">
      <c r="A8">
        <v>2007</v>
      </c>
      <c r="B8" t="s">
        <v>546</v>
      </c>
      <c r="C8">
        <v>50</v>
      </c>
      <c r="D8">
        <v>32</v>
      </c>
      <c r="E8">
        <v>3</v>
      </c>
      <c r="F8">
        <v>16</v>
      </c>
    </row>
    <row r="9" spans="1:6" x14ac:dyDescent="0.35">
      <c r="A9">
        <v>2008</v>
      </c>
      <c r="B9" t="s">
        <v>547</v>
      </c>
      <c r="C9">
        <v>50</v>
      </c>
      <c r="D9">
        <v>32</v>
      </c>
      <c r="E9">
        <v>1</v>
      </c>
      <c r="F9">
        <v>50</v>
      </c>
    </row>
    <row r="10" spans="1:6" x14ac:dyDescent="0.35">
      <c r="A10">
        <v>2009</v>
      </c>
      <c r="B10" t="s">
        <v>548</v>
      </c>
      <c r="C10">
        <v>20</v>
      </c>
      <c r="D10">
        <v>32</v>
      </c>
      <c r="E10">
        <v>2</v>
      </c>
      <c r="F10">
        <v>10</v>
      </c>
    </row>
    <row r="11" spans="1:6" x14ac:dyDescent="0.35">
      <c r="A11">
        <v>2010</v>
      </c>
      <c r="B11" t="s">
        <v>549</v>
      </c>
      <c r="C11">
        <v>20</v>
      </c>
      <c r="D11">
        <v>32</v>
      </c>
      <c r="E11">
        <v>3</v>
      </c>
      <c r="F11">
        <v>6</v>
      </c>
    </row>
    <row r="12" spans="1:6" x14ac:dyDescent="0.35">
      <c r="A12">
        <v>2011</v>
      </c>
      <c r="B12" t="s">
        <v>550</v>
      </c>
      <c r="C12">
        <v>10</v>
      </c>
      <c r="D12">
        <v>32</v>
      </c>
      <c r="E12">
        <v>3</v>
      </c>
      <c r="F12">
        <v>3</v>
      </c>
    </row>
    <row r="13" spans="1:6" x14ac:dyDescent="0.35">
      <c r="A13">
        <v>2012</v>
      </c>
      <c r="B13" t="s">
        <v>551</v>
      </c>
      <c r="C13">
        <v>2000</v>
      </c>
      <c r="D13">
        <v>32</v>
      </c>
      <c r="E13">
        <v>10</v>
      </c>
      <c r="F13">
        <v>200</v>
      </c>
    </row>
    <row r="14" spans="1:6" x14ac:dyDescent="0.35">
      <c r="A14">
        <v>2013</v>
      </c>
      <c r="B14" t="s">
        <v>552</v>
      </c>
      <c r="C14">
        <v>200</v>
      </c>
      <c r="D14">
        <v>32</v>
      </c>
      <c r="E14">
        <v>32</v>
      </c>
      <c r="F14">
        <v>6</v>
      </c>
    </row>
    <row r="15" spans="1:6" x14ac:dyDescent="0.35">
      <c r="A15">
        <v>2014</v>
      </c>
      <c r="B15" t="s">
        <v>553</v>
      </c>
      <c r="C15">
        <v>200</v>
      </c>
      <c r="D15">
        <v>32</v>
      </c>
      <c r="E15">
        <v>32</v>
      </c>
      <c r="F15">
        <v>6</v>
      </c>
    </row>
    <row r="16" spans="1:6" x14ac:dyDescent="0.35">
      <c r="A16">
        <v>2015</v>
      </c>
      <c r="B16" t="s">
        <v>554</v>
      </c>
      <c r="C16">
        <v>6000</v>
      </c>
      <c r="D16">
        <v>32</v>
      </c>
      <c r="E16">
        <v>175</v>
      </c>
      <c r="F16">
        <v>34</v>
      </c>
    </row>
    <row r="17" spans="1:6" x14ac:dyDescent="0.35">
      <c r="A17">
        <v>2016</v>
      </c>
      <c r="B17" t="s">
        <v>555</v>
      </c>
      <c r="C17">
        <v>200</v>
      </c>
      <c r="D17">
        <v>32</v>
      </c>
      <c r="E17">
        <v>4</v>
      </c>
      <c r="F17">
        <v>50</v>
      </c>
    </row>
    <row r="18" spans="1:6" x14ac:dyDescent="0.35">
      <c r="A18">
        <v>2017</v>
      </c>
      <c r="B18" t="s">
        <v>556</v>
      </c>
      <c r="C18">
        <v>1000</v>
      </c>
      <c r="D18">
        <v>32</v>
      </c>
      <c r="E18">
        <v>32</v>
      </c>
      <c r="F18">
        <v>31</v>
      </c>
    </row>
    <row r="19" spans="1:6" x14ac:dyDescent="0.35">
      <c r="A19">
        <v>2018</v>
      </c>
      <c r="B19" t="s">
        <v>557</v>
      </c>
      <c r="C19">
        <v>100</v>
      </c>
      <c r="D19">
        <v>32</v>
      </c>
      <c r="E19">
        <v>2</v>
      </c>
      <c r="F19">
        <v>50</v>
      </c>
    </row>
    <row r="20" spans="1:6" x14ac:dyDescent="0.35">
      <c r="A20">
        <v>2019</v>
      </c>
      <c r="B20" t="s">
        <v>558</v>
      </c>
      <c r="C20">
        <v>50</v>
      </c>
      <c r="D20">
        <v>32</v>
      </c>
      <c r="E20">
        <v>1</v>
      </c>
      <c r="F20">
        <v>50</v>
      </c>
    </row>
    <row r="21" spans="1:6" x14ac:dyDescent="0.35">
      <c r="A21">
        <v>2020</v>
      </c>
      <c r="B21" t="s">
        <v>559</v>
      </c>
      <c r="C21">
        <v>2000</v>
      </c>
      <c r="D21">
        <v>32</v>
      </c>
      <c r="E21">
        <v>32</v>
      </c>
      <c r="F21">
        <v>62</v>
      </c>
    </row>
    <row r="22" spans="1:6" x14ac:dyDescent="0.35">
      <c r="A22">
        <v>2021</v>
      </c>
      <c r="B22" t="s">
        <v>560</v>
      </c>
      <c r="C22">
        <v>120</v>
      </c>
      <c r="D22">
        <v>32</v>
      </c>
      <c r="E22">
        <v>1</v>
      </c>
      <c r="F22">
        <v>120</v>
      </c>
    </row>
    <row r="23" spans="1:6" x14ac:dyDescent="0.35">
      <c r="A23">
        <v>2022</v>
      </c>
      <c r="B23" t="s">
        <v>561</v>
      </c>
      <c r="C23">
        <v>1152</v>
      </c>
      <c r="D23">
        <v>32</v>
      </c>
      <c r="E23">
        <v>32</v>
      </c>
      <c r="F23">
        <v>36</v>
      </c>
    </row>
    <row r="24" spans="1:6" x14ac:dyDescent="0.35">
      <c r="A24">
        <v>2023</v>
      </c>
      <c r="B24" t="s">
        <v>562</v>
      </c>
      <c r="C24">
        <v>325</v>
      </c>
      <c r="D24">
        <v>32</v>
      </c>
      <c r="E24">
        <v>1.5</v>
      </c>
      <c r="F24">
        <v>216</v>
      </c>
    </row>
  </sheetData>
  <autoFilter ref="A1:F1" xr:uid="{4AC6AFEF-2A9B-4B62-87A1-C9C42FD7A77E}"/>
  <conditionalFormatting sqref="F2:F24">
    <cfRule type="cellIs" dxfId="10" priority="1" operator="equal">
      <formula>0</formula>
    </cfRule>
    <cfRule type="cellIs" dxfId="9" priority="2" operator="between">
      <formula>1</formula>
      <formula>2</formula>
    </cfRule>
    <cfRule type="cellIs" dxfId="8" priority="3" operator="greaterThan">
      <formula>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AFB5-217B-4C40-BC3B-7FA8A17E78F7}">
  <sheetPr codeName="Sheet6"/>
  <dimension ref="A1:J24"/>
  <sheetViews>
    <sheetView workbookViewId="0"/>
  </sheetViews>
  <sheetFormatPr defaultRowHeight="14.5" x14ac:dyDescent="0.35"/>
  <cols>
    <col min="1" max="1" width="9.26953125" bestFit="1" customWidth="1"/>
    <col min="2" max="2" width="68.7265625" bestFit="1" customWidth="1"/>
    <col min="3" max="3" width="12.26953125" bestFit="1" customWidth="1"/>
    <col min="4" max="4" width="14" bestFit="1" customWidth="1"/>
    <col min="5" max="5" width="12.26953125" bestFit="1" customWidth="1"/>
    <col min="6" max="6" width="13.36328125" bestFit="1" customWidth="1"/>
    <col min="7" max="7" width="19.6328125" bestFit="1" customWidth="1"/>
    <col min="8" max="8" width="20.54296875" bestFit="1" customWidth="1"/>
    <col min="9" max="9" width="25.90625" bestFit="1" customWidth="1"/>
    <col min="10" max="10" width="27" bestFit="1" customWidth="1"/>
  </cols>
  <sheetData>
    <row r="1" spans="1:10" x14ac:dyDescent="0.35">
      <c r="A1" s="31" t="s">
        <v>537</v>
      </c>
      <c r="B1" s="31" t="s">
        <v>538</v>
      </c>
      <c r="C1" s="31" t="s">
        <v>568</v>
      </c>
      <c r="D1" s="31" t="s">
        <v>569</v>
      </c>
      <c r="E1" s="31" t="s">
        <v>570</v>
      </c>
      <c r="F1" s="31" t="s">
        <v>571</v>
      </c>
      <c r="G1" s="31" t="s">
        <v>572</v>
      </c>
      <c r="H1" s="31" t="s">
        <v>573</v>
      </c>
      <c r="I1" s="31" t="s">
        <v>574</v>
      </c>
      <c r="J1" s="31" t="s">
        <v>575</v>
      </c>
    </row>
    <row r="2" spans="1:10" x14ac:dyDescent="0.35">
      <c r="A2">
        <v>2002</v>
      </c>
      <c r="B2" t="s">
        <v>541</v>
      </c>
      <c r="C2">
        <v>48</v>
      </c>
      <c r="D2">
        <v>20</v>
      </c>
      <c r="E2" t="s">
        <v>418</v>
      </c>
      <c r="F2" t="s">
        <v>576</v>
      </c>
      <c r="G2">
        <v>40</v>
      </c>
      <c r="H2">
        <v>50</v>
      </c>
      <c r="I2">
        <v>2</v>
      </c>
      <c r="J2">
        <v>2.5</v>
      </c>
    </row>
    <row r="3" spans="1:10" x14ac:dyDescent="0.35">
      <c r="A3">
        <v>2003</v>
      </c>
      <c r="B3" t="s">
        <v>542</v>
      </c>
      <c r="C3">
        <v>96</v>
      </c>
      <c r="D3">
        <v>48</v>
      </c>
      <c r="E3" t="s">
        <v>576</v>
      </c>
      <c r="F3" t="s">
        <v>576</v>
      </c>
      <c r="G3">
        <v>96</v>
      </c>
      <c r="H3">
        <v>120</v>
      </c>
      <c r="I3">
        <v>2</v>
      </c>
      <c r="J3">
        <v>2.5</v>
      </c>
    </row>
    <row r="4" spans="1:10" x14ac:dyDescent="0.35">
      <c r="A4">
        <v>2023</v>
      </c>
      <c r="B4" t="s">
        <v>562</v>
      </c>
      <c r="C4">
        <v>325</v>
      </c>
      <c r="D4">
        <v>325</v>
      </c>
      <c r="E4" t="s">
        <v>576</v>
      </c>
      <c r="F4" t="s">
        <v>576</v>
      </c>
      <c r="G4">
        <v>650</v>
      </c>
      <c r="H4">
        <v>812.5</v>
      </c>
      <c r="I4">
        <v>2</v>
      </c>
      <c r="J4">
        <v>2.5</v>
      </c>
    </row>
    <row r="5" spans="1:10" x14ac:dyDescent="0.35">
      <c r="A5">
        <v>2019</v>
      </c>
      <c r="B5" t="s">
        <v>558</v>
      </c>
      <c r="C5">
        <v>50</v>
      </c>
      <c r="D5">
        <v>25</v>
      </c>
      <c r="E5" t="s">
        <v>576</v>
      </c>
      <c r="F5" t="s">
        <v>576</v>
      </c>
      <c r="G5">
        <v>50</v>
      </c>
      <c r="H5">
        <v>62.5</v>
      </c>
      <c r="I5">
        <v>2</v>
      </c>
      <c r="J5">
        <v>2.5</v>
      </c>
    </row>
    <row r="6" spans="1:10" x14ac:dyDescent="0.35">
      <c r="A6">
        <v>2008</v>
      </c>
      <c r="B6" t="s">
        <v>547</v>
      </c>
      <c r="C6">
        <v>50</v>
      </c>
      <c r="D6">
        <v>25</v>
      </c>
      <c r="E6" t="s">
        <v>576</v>
      </c>
      <c r="F6" t="s">
        <v>576</v>
      </c>
      <c r="G6">
        <v>50</v>
      </c>
      <c r="H6">
        <v>62.5</v>
      </c>
      <c r="I6">
        <v>2</v>
      </c>
      <c r="J6">
        <v>2.5</v>
      </c>
    </row>
    <row r="7" spans="1:10" x14ac:dyDescent="0.35">
      <c r="A7">
        <v>2007</v>
      </c>
      <c r="B7" t="s">
        <v>546</v>
      </c>
      <c r="C7">
        <v>50</v>
      </c>
      <c r="D7">
        <v>25</v>
      </c>
      <c r="E7" t="s">
        <v>576</v>
      </c>
      <c r="F7" t="s">
        <v>576</v>
      </c>
      <c r="G7">
        <v>50</v>
      </c>
      <c r="H7">
        <v>62.5</v>
      </c>
      <c r="I7">
        <v>2</v>
      </c>
      <c r="J7">
        <v>2.5</v>
      </c>
    </row>
    <row r="8" spans="1:10" x14ac:dyDescent="0.35">
      <c r="A8">
        <v>2010</v>
      </c>
      <c r="B8" t="s">
        <v>549</v>
      </c>
      <c r="C8">
        <v>20</v>
      </c>
      <c r="D8">
        <v>10</v>
      </c>
      <c r="E8" t="s">
        <v>576</v>
      </c>
      <c r="F8" t="s">
        <v>576</v>
      </c>
      <c r="G8">
        <v>20</v>
      </c>
      <c r="H8">
        <v>25</v>
      </c>
      <c r="I8">
        <v>2</v>
      </c>
      <c r="J8">
        <v>2.5</v>
      </c>
    </row>
    <row r="9" spans="1:10" x14ac:dyDescent="0.35">
      <c r="A9">
        <v>2009</v>
      </c>
      <c r="B9" t="s">
        <v>548</v>
      </c>
      <c r="C9">
        <v>20</v>
      </c>
      <c r="D9">
        <v>10</v>
      </c>
      <c r="E9" t="s">
        <v>576</v>
      </c>
      <c r="F9" t="s">
        <v>576</v>
      </c>
      <c r="G9">
        <v>20</v>
      </c>
      <c r="H9">
        <v>25</v>
      </c>
      <c r="I9">
        <v>2</v>
      </c>
      <c r="J9">
        <v>2.5</v>
      </c>
    </row>
    <row r="10" spans="1:10" x14ac:dyDescent="0.35">
      <c r="A10">
        <v>2011</v>
      </c>
      <c r="B10" t="s">
        <v>550</v>
      </c>
      <c r="C10">
        <v>10</v>
      </c>
      <c r="D10">
        <v>5</v>
      </c>
      <c r="E10" t="s">
        <v>576</v>
      </c>
      <c r="F10" t="s">
        <v>576</v>
      </c>
      <c r="G10">
        <v>10</v>
      </c>
      <c r="H10">
        <v>12.5</v>
      </c>
      <c r="I10">
        <v>2</v>
      </c>
      <c r="J10">
        <v>2.5</v>
      </c>
    </row>
    <row r="11" spans="1:10" x14ac:dyDescent="0.35">
      <c r="A11">
        <v>2013</v>
      </c>
      <c r="B11" t="s">
        <v>552</v>
      </c>
      <c r="C11">
        <v>200</v>
      </c>
      <c r="D11">
        <v>100</v>
      </c>
      <c r="E11" t="s">
        <v>576</v>
      </c>
      <c r="F11" t="s">
        <v>576</v>
      </c>
      <c r="G11">
        <v>200</v>
      </c>
      <c r="H11">
        <v>250</v>
      </c>
      <c r="I11">
        <v>2</v>
      </c>
      <c r="J11">
        <v>2.5</v>
      </c>
    </row>
    <row r="12" spans="1:10" x14ac:dyDescent="0.35">
      <c r="A12">
        <v>2014</v>
      </c>
      <c r="B12" t="s">
        <v>553</v>
      </c>
      <c r="C12">
        <v>200</v>
      </c>
      <c r="D12">
        <v>100</v>
      </c>
      <c r="E12" t="s">
        <v>576</v>
      </c>
      <c r="F12" t="s">
        <v>576</v>
      </c>
      <c r="G12">
        <v>200</v>
      </c>
      <c r="H12">
        <v>250</v>
      </c>
      <c r="I12">
        <v>2</v>
      </c>
      <c r="J12">
        <v>2.5</v>
      </c>
    </row>
    <row r="13" spans="1:10" x14ac:dyDescent="0.35">
      <c r="A13">
        <v>2015</v>
      </c>
      <c r="B13" t="s">
        <v>554</v>
      </c>
      <c r="C13">
        <v>6000</v>
      </c>
      <c r="D13">
        <v>3000</v>
      </c>
      <c r="E13" t="s">
        <v>576</v>
      </c>
      <c r="F13" t="s">
        <v>576</v>
      </c>
      <c r="G13">
        <v>6000</v>
      </c>
      <c r="H13">
        <v>7500</v>
      </c>
      <c r="I13">
        <v>2</v>
      </c>
      <c r="J13">
        <v>2.5</v>
      </c>
    </row>
    <row r="14" spans="1:10" x14ac:dyDescent="0.35">
      <c r="A14">
        <v>2018</v>
      </c>
      <c r="B14" t="s">
        <v>557</v>
      </c>
      <c r="C14">
        <v>100</v>
      </c>
      <c r="D14">
        <v>50</v>
      </c>
      <c r="E14" t="s">
        <v>576</v>
      </c>
      <c r="F14" t="s">
        <v>576</v>
      </c>
      <c r="G14">
        <v>100</v>
      </c>
      <c r="H14">
        <v>125</v>
      </c>
      <c r="I14">
        <v>2</v>
      </c>
      <c r="J14">
        <v>2.5</v>
      </c>
    </row>
    <row r="15" spans="1:10" x14ac:dyDescent="0.35">
      <c r="A15">
        <v>2021</v>
      </c>
      <c r="B15" t="s">
        <v>560</v>
      </c>
      <c r="C15">
        <v>120</v>
      </c>
      <c r="D15">
        <v>60</v>
      </c>
      <c r="E15" t="s">
        <v>576</v>
      </c>
      <c r="F15" t="s">
        <v>576</v>
      </c>
      <c r="G15">
        <v>120</v>
      </c>
      <c r="H15">
        <v>150</v>
      </c>
      <c r="I15">
        <v>2</v>
      </c>
      <c r="J15">
        <v>2.5</v>
      </c>
    </row>
    <row r="16" spans="1:10" x14ac:dyDescent="0.35">
      <c r="A16">
        <v>2004</v>
      </c>
      <c r="B16" t="s">
        <v>543</v>
      </c>
      <c r="C16">
        <v>24</v>
      </c>
      <c r="D16">
        <v>12</v>
      </c>
      <c r="E16" t="s">
        <v>576</v>
      </c>
      <c r="F16" t="s">
        <v>576</v>
      </c>
      <c r="G16">
        <v>24</v>
      </c>
      <c r="H16">
        <v>30</v>
      </c>
      <c r="I16">
        <v>2</v>
      </c>
      <c r="J16">
        <v>2.5</v>
      </c>
    </row>
    <row r="17" spans="1:10" x14ac:dyDescent="0.35">
      <c r="A17">
        <v>2017</v>
      </c>
      <c r="B17" t="s">
        <v>556</v>
      </c>
      <c r="C17">
        <v>1000</v>
      </c>
      <c r="D17">
        <v>500</v>
      </c>
      <c r="E17" t="s">
        <v>576</v>
      </c>
      <c r="F17" t="s">
        <v>576</v>
      </c>
      <c r="G17">
        <v>1000</v>
      </c>
      <c r="H17">
        <v>1250</v>
      </c>
      <c r="I17">
        <v>2</v>
      </c>
      <c r="J17">
        <v>2.5</v>
      </c>
    </row>
    <row r="18" spans="1:10" x14ac:dyDescent="0.35">
      <c r="A18">
        <v>2012</v>
      </c>
      <c r="B18" t="s">
        <v>551</v>
      </c>
      <c r="C18">
        <v>2000</v>
      </c>
      <c r="D18">
        <v>1000</v>
      </c>
      <c r="E18" t="s">
        <v>576</v>
      </c>
      <c r="F18" t="s">
        <v>576</v>
      </c>
      <c r="G18">
        <v>2000</v>
      </c>
      <c r="H18">
        <v>2500</v>
      </c>
      <c r="I18">
        <v>2</v>
      </c>
      <c r="J18">
        <v>2.5</v>
      </c>
    </row>
    <row r="19" spans="1:10" x14ac:dyDescent="0.35">
      <c r="A19">
        <v>2016</v>
      </c>
      <c r="B19" t="s">
        <v>555</v>
      </c>
      <c r="C19">
        <v>200</v>
      </c>
      <c r="D19">
        <v>100</v>
      </c>
      <c r="E19" t="s">
        <v>576</v>
      </c>
      <c r="F19" t="s">
        <v>576</v>
      </c>
      <c r="G19">
        <v>200</v>
      </c>
      <c r="H19">
        <v>250</v>
      </c>
      <c r="I19">
        <v>2</v>
      </c>
      <c r="J19">
        <v>2.5</v>
      </c>
    </row>
    <row r="20" spans="1:10" x14ac:dyDescent="0.35">
      <c r="A20">
        <v>2020</v>
      </c>
      <c r="B20" t="s">
        <v>559</v>
      </c>
      <c r="C20">
        <v>2000</v>
      </c>
      <c r="D20">
        <v>1000</v>
      </c>
      <c r="E20" t="s">
        <v>576</v>
      </c>
      <c r="F20" t="s">
        <v>576</v>
      </c>
      <c r="G20">
        <v>2000</v>
      </c>
      <c r="H20">
        <v>2500</v>
      </c>
      <c r="I20">
        <v>2</v>
      </c>
      <c r="J20">
        <v>2.5</v>
      </c>
    </row>
    <row r="21" spans="1:10" x14ac:dyDescent="0.35">
      <c r="A21">
        <v>2001</v>
      </c>
      <c r="B21" t="s">
        <v>540</v>
      </c>
      <c r="C21">
        <v>190</v>
      </c>
      <c r="D21">
        <v>50</v>
      </c>
      <c r="E21" t="s">
        <v>418</v>
      </c>
      <c r="F21" t="s">
        <v>418</v>
      </c>
      <c r="G21">
        <v>100</v>
      </c>
      <c r="H21">
        <v>125</v>
      </c>
      <c r="I21">
        <v>2</v>
      </c>
      <c r="J21">
        <v>2.5</v>
      </c>
    </row>
    <row r="22" spans="1:10" x14ac:dyDescent="0.35">
      <c r="A22">
        <v>2022</v>
      </c>
      <c r="B22" t="s">
        <v>561</v>
      </c>
      <c r="C22">
        <v>1152</v>
      </c>
      <c r="D22">
        <v>384</v>
      </c>
      <c r="E22" t="s">
        <v>418</v>
      </c>
      <c r="F22" t="s">
        <v>418</v>
      </c>
      <c r="G22">
        <v>768</v>
      </c>
      <c r="H22">
        <v>960</v>
      </c>
      <c r="I22">
        <v>2</v>
      </c>
      <c r="J22">
        <v>2.5</v>
      </c>
    </row>
    <row r="23" spans="1:10" x14ac:dyDescent="0.35">
      <c r="A23">
        <v>2005</v>
      </c>
      <c r="B23" t="s">
        <v>544</v>
      </c>
      <c r="C23">
        <v>200</v>
      </c>
      <c r="D23">
        <v>100</v>
      </c>
      <c r="E23" t="s">
        <v>576</v>
      </c>
      <c r="F23" t="s">
        <v>576</v>
      </c>
      <c r="G23">
        <v>200</v>
      </c>
      <c r="H23">
        <v>250</v>
      </c>
      <c r="I23">
        <v>2</v>
      </c>
      <c r="J23">
        <v>2.5</v>
      </c>
    </row>
    <row r="24" spans="1:10" x14ac:dyDescent="0.35">
      <c r="A24">
        <v>2006</v>
      </c>
      <c r="B24" t="s">
        <v>545</v>
      </c>
      <c r="C24">
        <v>100</v>
      </c>
      <c r="D24">
        <v>50</v>
      </c>
      <c r="E24" t="s">
        <v>576</v>
      </c>
      <c r="F24" t="s">
        <v>576</v>
      </c>
      <c r="G24">
        <v>100</v>
      </c>
      <c r="H24">
        <v>125</v>
      </c>
      <c r="I24">
        <v>2</v>
      </c>
      <c r="J24">
        <v>2.5</v>
      </c>
    </row>
  </sheetData>
  <autoFilter ref="A1:J1" xr:uid="{B3CAA633-FAD3-48F3-9ABE-82C988ED5A23}"/>
  <conditionalFormatting sqref="E2:E24">
    <cfRule type="cellIs" dxfId="4" priority="1" operator="equal">
      <formula>"Refill"</formula>
    </cfRule>
    <cfRule type="cellIs" dxfId="3" priority="2" operator="equal">
      <formula>"OK"</formula>
    </cfRule>
  </conditionalFormatting>
  <conditionalFormatting sqref="F2:F24">
    <cfRule type="cellIs" dxfId="2" priority="3" operator="equal">
      <formula>"Refill"</formula>
    </cfRule>
    <cfRule type="cellIs" dxfId="1" priority="4" operator="equal">
      <formula>"OK"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0D6B-654B-453D-925E-5307FFBCFBF5}">
  <sheetPr codeName="Sheet9"/>
  <dimension ref="A1:G24"/>
  <sheetViews>
    <sheetView tabSelected="1" workbookViewId="0"/>
  </sheetViews>
  <sheetFormatPr defaultRowHeight="14.5" x14ac:dyDescent="0.35"/>
  <cols>
    <col min="1" max="1" width="9.26953125" bestFit="1" customWidth="1"/>
    <col min="2" max="2" width="68.7265625" bestFit="1" customWidth="1"/>
    <col min="3" max="3" width="28.1796875" bestFit="1" customWidth="1"/>
    <col min="4" max="4" width="16.08984375" bestFit="1" customWidth="1"/>
    <col min="5" max="5" width="28.7265625" bestFit="1" customWidth="1"/>
    <col min="6" max="6" width="21.36328125" bestFit="1" customWidth="1"/>
    <col min="7" max="7" width="28.453125" bestFit="1" customWidth="1"/>
  </cols>
  <sheetData>
    <row r="1" spans="1:7" x14ac:dyDescent="0.35">
      <c r="A1" s="31" t="s">
        <v>537</v>
      </c>
      <c r="B1" s="31" t="s">
        <v>538</v>
      </c>
      <c r="C1" s="31" t="s">
        <v>577</v>
      </c>
      <c r="D1" s="31" t="s">
        <v>539</v>
      </c>
      <c r="E1" s="31" t="s">
        <v>578</v>
      </c>
      <c r="F1" s="31" t="s">
        <v>579</v>
      </c>
      <c r="G1" s="31" t="s">
        <v>580</v>
      </c>
    </row>
    <row r="2" spans="1:7" x14ac:dyDescent="0.35">
      <c r="A2">
        <v>2002</v>
      </c>
      <c r="B2" t="s">
        <v>541</v>
      </c>
      <c r="C2">
        <v>48</v>
      </c>
      <c r="D2">
        <v>0</v>
      </c>
      <c r="E2">
        <v>48</v>
      </c>
      <c r="F2">
        <v>96</v>
      </c>
      <c r="G2">
        <v>1</v>
      </c>
    </row>
    <row r="3" spans="1:7" x14ac:dyDescent="0.35">
      <c r="A3">
        <v>2003</v>
      </c>
      <c r="B3" t="s">
        <v>542</v>
      </c>
      <c r="C3">
        <v>96</v>
      </c>
      <c r="D3">
        <v>0</v>
      </c>
      <c r="E3">
        <v>96</v>
      </c>
      <c r="F3">
        <v>96</v>
      </c>
      <c r="G3">
        <v>1</v>
      </c>
    </row>
    <row r="4" spans="1:7" x14ac:dyDescent="0.35">
      <c r="A4">
        <v>2023</v>
      </c>
      <c r="B4" t="s">
        <v>562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7" x14ac:dyDescent="0.35">
      <c r="A5">
        <v>2019</v>
      </c>
      <c r="B5" t="s">
        <v>558</v>
      </c>
      <c r="C5">
        <v>50</v>
      </c>
      <c r="D5">
        <v>0</v>
      </c>
      <c r="E5">
        <v>50</v>
      </c>
      <c r="F5">
        <v>96</v>
      </c>
      <c r="G5">
        <v>1</v>
      </c>
    </row>
    <row r="6" spans="1:7" x14ac:dyDescent="0.35">
      <c r="A6">
        <v>2008</v>
      </c>
      <c r="B6" t="s">
        <v>547</v>
      </c>
      <c r="C6">
        <v>50</v>
      </c>
      <c r="D6">
        <v>0</v>
      </c>
      <c r="E6">
        <v>50</v>
      </c>
      <c r="F6">
        <v>96</v>
      </c>
      <c r="G6">
        <v>1</v>
      </c>
    </row>
    <row r="7" spans="1:7" x14ac:dyDescent="0.35">
      <c r="A7">
        <v>2007</v>
      </c>
      <c r="B7" t="s">
        <v>546</v>
      </c>
      <c r="C7">
        <v>50</v>
      </c>
      <c r="D7">
        <v>0</v>
      </c>
      <c r="E7">
        <v>50</v>
      </c>
      <c r="F7">
        <v>96</v>
      </c>
      <c r="G7">
        <v>3</v>
      </c>
    </row>
    <row r="8" spans="1:7" x14ac:dyDescent="0.35">
      <c r="A8">
        <v>2010</v>
      </c>
      <c r="B8" t="s">
        <v>549</v>
      </c>
      <c r="C8">
        <v>20</v>
      </c>
      <c r="D8">
        <v>0</v>
      </c>
      <c r="E8">
        <v>20</v>
      </c>
      <c r="F8">
        <v>96</v>
      </c>
      <c r="G8">
        <v>3</v>
      </c>
    </row>
    <row r="9" spans="1:7" x14ac:dyDescent="0.35">
      <c r="A9">
        <v>2009</v>
      </c>
      <c r="B9" t="s">
        <v>548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7" x14ac:dyDescent="0.35">
      <c r="A10">
        <v>2011</v>
      </c>
      <c r="B10" t="s">
        <v>550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7" x14ac:dyDescent="0.35">
      <c r="A11">
        <v>2013</v>
      </c>
      <c r="B11" t="s">
        <v>552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7" x14ac:dyDescent="0.35">
      <c r="A12">
        <v>2014</v>
      </c>
      <c r="B12" t="s">
        <v>553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7" x14ac:dyDescent="0.35">
      <c r="A13">
        <v>2015</v>
      </c>
      <c r="B13" t="s">
        <v>554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7" x14ac:dyDescent="0.35">
      <c r="A14">
        <v>2018</v>
      </c>
      <c r="B14" t="s">
        <v>557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7" x14ac:dyDescent="0.35">
      <c r="A15">
        <v>2021</v>
      </c>
      <c r="B15" t="s">
        <v>560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7" x14ac:dyDescent="0.35">
      <c r="A16">
        <v>2004</v>
      </c>
      <c r="B16" t="s">
        <v>543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35">
      <c r="A17">
        <v>2017</v>
      </c>
      <c r="B17" t="s">
        <v>556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35">
      <c r="A18">
        <v>2012</v>
      </c>
      <c r="B18" t="s">
        <v>551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35">
      <c r="A19">
        <v>2016</v>
      </c>
      <c r="B19" t="s">
        <v>555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35">
      <c r="A20">
        <v>2020</v>
      </c>
      <c r="B20" t="s">
        <v>559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35">
      <c r="A21">
        <v>2001</v>
      </c>
      <c r="B21" t="s">
        <v>540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35">
      <c r="A22">
        <v>2022</v>
      </c>
      <c r="B22" t="s">
        <v>561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35">
      <c r="A23">
        <v>2005</v>
      </c>
      <c r="B23" t="s">
        <v>544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35">
      <c r="A24">
        <v>2006</v>
      </c>
      <c r="B24" t="s">
        <v>545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G1" xr:uid="{B353D779-52C8-4A3A-BE5A-766BAD70C59E}"/>
  <conditionalFormatting sqref="D2:D24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4.5" x14ac:dyDescent="0.35"/>
  <sheetData>
    <row r="1" spans="1:15" x14ac:dyDescent="0.35">
      <c r="A1" s="9" t="s">
        <v>514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RawData</vt:lpstr>
      <vt:lpstr>Validated</vt:lpstr>
      <vt:lpstr>Dictionary</vt:lpstr>
      <vt:lpstr>FlatbedScans</vt:lpstr>
      <vt:lpstr>FieldSettings</vt:lpstr>
      <vt:lpstr>Configuration</vt:lpstr>
      <vt:lpstr>Workflow_Capacity</vt:lpstr>
      <vt:lpstr>Item_Capacity</vt:lpstr>
      <vt:lpstr>Inv_Items</vt:lpstr>
      <vt:lpstr>Inv_Availability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2018-11-09T22:48:02Z</dcterms:modified>
</cp:coreProperties>
</file>